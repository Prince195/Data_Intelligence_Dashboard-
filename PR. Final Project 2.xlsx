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princ\OneDrive\2025\Excel project\"/>
    </mc:Choice>
  </mc:AlternateContent>
  <xr:revisionPtr revIDLastSave="0" documentId="13_ncr:1_{78B70A56-F180-4494-86D4-EA73C0AC5747}" xr6:coauthVersionLast="47" xr6:coauthVersionMax="47" xr10:uidLastSave="{00000000-0000-0000-0000-000000000000}"/>
  <bookViews>
    <workbookView xWindow="-98" yWindow="-98" windowWidth="21795" windowHeight="12975" firstSheet="1" activeTab="5" xr2:uid="{00000000-000D-0000-FFFF-FFFF00000000}"/>
  </bookViews>
  <sheets>
    <sheet name="Project Instructions" sheetId="1" r:id="rId1"/>
    <sheet name="Final Project Dataset" sheetId="2" r:id="rId2"/>
    <sheet name="Analysis" sheetId="3" r:id="rId3"/>
    <sheet name="total_revenue" sheetId="4" r:id="rId4"/>
    <sheet name="Pivort_Table-Charts" sheetId="5" r:id="rId5"/>
    <sheet name="Dashboard" sheetId="6" r:id="rId6"/>
  </sheets>
  <definedNames>
    <definedName name="NativeTimeline_Date">#N/A</definedName>
    <definedName name="Slicer_Category">#N/A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6" l="1"/>
  <c r="D6" i="6"/>
  <c r="N18" i="5"/>
  <c r="U3" i="2"/>
  <c r="U6" i="2"/>
  <c r="U7" i="2"/>
  <c r="U8" i="2"/>
  <c r="U9" i="2"/>
  <c r="U10" i="2"/>
  <c r="U11" i="2"/>
  <c r="U12" i="2"/>
  <c r="U13" i="2"/>
  <c r="U14" i="2"/>
  <c r="W4" i="2"/>
  <c r="W5" i="2"/>
  <c r="W6" i="2"/>
  <c r="W7" i="2"/>
  <c r="W8" i="2"/>
  <c r="W9" i="2"/>
  <c r="W10" i="2"/>
  <c r="W11" i="2"/>
  <c r="W12" i="2"/>
  <c r="W13" i="2"/>
  <c r="W14" i="2"/>
  <c r="W3" i="2"/>
  <c r="U5" i="2"/>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 i="4"/>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N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 i="2"/>
  <c r="D5" i="6"/>
  <c r="A1" i="3" l="1" a="1"/>
  <c r="A1"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<sst xmlns="http://schemas.openxmlformats.org/spreadsheetml/2006/main" count="2540" uniqueCount="419">
  <si>
    <t>PR. Final Project - "Data Intelligence Dashboard"</t>
  </si>
  <si>
    <r>
      <rPr>
        <b/>
        <sz val="11"/>
        <color theme="1"/>
        <rFont val="Calibri"/>
        <family val="2"/>
      </rPr>
      <t xml:space="preserve">Dataset: </t>
    </r>
    <r>
      <rPr>
        <sz val="11"/>
        <color theme="1"/>
        <rFont val="Calibri"/>
        <family val="2"/>
      </rPr>
      <t xml:space="preserve">Use the 'Final Project Dataset' sheet containing 200+ records of customer transactions.
</t>
    </r>
    <r>
      <rPr>
        <b/>
        <sz val="11"/>
        <color theme="1"/>
        <rFont val="Calibri"/>
        <family val="2"/>
      </rPr>
      <t xml:space="preserve">Objective: </t>
    </r>
    <r>
      <rPr>
        <sz val="11"/>
        <color theme="1"/>
        <rFont val="Calibri"/>
        <family val="2"/>
      </rPr>
      <t xml:space="preserve">
Create a full-fledged analysis and reporting solution using Excel to analyze customer transactions, find insights, 
and build visualizations and dashboards.
</t>
    </r>
    <r>
      <rPr>
        <b/>
        <sz val="11"/>
        <color rgb="FF367526"/>
        <rFont val="Calibri"/>
        <family val="2"/>
      </rPr>
      <t xml:space="preserve">Key Topics to Implement:
</t>
    </r>
    <r>
      <rPr>
        <sz val="11"/>
        <color rgb="FF38761D"/>
        <rFont val="Calibri"/>
        <family val="2"/>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family val="2"/>
      </rPr>
      <t xml:space="preserve">
</t>
    </r>
    <r>
      <rPr>
        <b/>
        <sz val="11"/>
        <color theme="1"/>
        <rFont val="Calibri"/>
        <family val="2"/>
      </rPr>
      <t xml:space="preserve">Deliverable:
</t>
    </r>
    <r>
      <rPr>
        <sz val="11"/>
        <color theme="1"/>
        <rFont val="Calibri"/>
        <family val="2"/>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</si>
  <si>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</si>
  <si>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</si>
  <si>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</si>
  <si>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</si>
  <si>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</si>
  <si>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</si>
  <si>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</si>
  <si>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</si>
  <si>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</si>
  <si>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</si>
  <si>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</si>
  <si>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</si>
  <si>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</si>
  <si>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</si>
  <si>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</si>
  <si>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</si>
  <si>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</si>
  <si>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</si>
  <si>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</si>
  <si>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</si>
  <si>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</si>
  <si>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</si>
  <si>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</si>
  <si>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</si>
  <si>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</si>
  <si>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</si>
  <si>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</si>
  <si>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</si>
  <si>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</si>
  <si>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</si>
  <si>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</si>
  <si>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</si>
  <si>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</si>
  <si>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</si>
  <si>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</si>
  <si>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</si>
  <si>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</si>
  <si>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</si>
  <si>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</si>
  <si>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</si>
  <si>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</si>
  <si>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</si>
  <si>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</si>
  <si>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</si>
  <si>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</si>
  <si>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</si>
  <si>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</si>
  <si>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</si>
  <si>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</si>
  <si>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</si>
  <si>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</si>
  <si>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</si>
  <si>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</si>
  <si>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</si>
  <si>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</si>
  <si>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</si>
  <si>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</si>
  <si>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</si>
  <si>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</si>
  <si>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</si>
  <si>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</si>
  <si>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</si>
  <si>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</si>
  <si>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</si>
  <si>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</si>
  <si>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</si>
  <si>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</si>
  <si>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</si>
  <si>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</si>
  <si>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</si>
  <si>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</si>
  <si>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</si>
  <si>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</si>
  <si>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</si>
  <si>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</si>
  <si>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</si>
  <si>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</si>
  <si>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</si>
  <si>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</si>
  <si>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</si>
  <si>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</si>
  <si>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</si>
  <si>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</si>
  <si>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</si>
  <si>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</si>
  <si>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</si>
  <si>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</si>
  <si>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</si>
  <si>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</si>
  <si>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</si>
  <si>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</si>
  <si>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</si>
  <si>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</si>
  <si>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</si>
  <si>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</si>
  <si>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</si>
  <si>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</si>
  <si>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</si>
  <si>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</si>
  <si>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</si>
  <si>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</si>
  <si>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</si>
  <si>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</si>
  <si>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</si>
  <si>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</si>
  <si>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</si>
  <si>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</si>
  <si>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</si>
  <si>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</si>
  <si>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</si>
  <si>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</si>
  <si>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</si>
  <si>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</si>
  <si>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</si>
  <si>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</si>
  <si>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</si>
  <si>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</si>
  <si>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</si>
  <si>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</si>
  <si>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</si>
  <si>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</si>
  <si>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</si>
  <si>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</si>
  <si>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</si>
  <si>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</si>
  <si>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</si>
  <si>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</si>
  <si>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</si>
  <si>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</si>
  <si>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</si>
  <si>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</si>
  <si>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</si>
  <si>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</si>
  <si>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</si>
  <si>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</si>
  <si>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</si>
  <si>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</si>
  <si>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</si>
  <si>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</si>
  <si>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</si>
  <si>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</si>
  <si>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</si>
  <si>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</si>
  <si>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</si>
  <si>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</si>
  <si>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</si>
  <si>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</si>
  <si>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</si>
  <si>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</si>
  <si>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</si>
  <si>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</si>
  <si>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</si>
  <si>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</si>
  <si>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</si>
  <si>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</si>
  <si>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</si>
  <si>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</si>
  <si>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</si>
  <si>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</si>
  <si>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</si>
  <si>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</si>
  <si>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</si>
  <si>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</si>
  <si>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</si>
  <si>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</si>
  <si>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</si>
  <si>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</si>
  <si>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</si>
  <si>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</si>
  <si>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</si>
  <si>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</si>
  <si>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</si>
  <si>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</si>
  <si>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</si>
  <si>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</si>
  <si>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</si>
  <si>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</si>
  <si>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</si>
  <si>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</si>
  <si>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</si>
  <si>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</si>
  <si>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</si>
  <si>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</si>
  <si>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</si>
  <si>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</si>
  <si>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</si>
  <si>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</si>
  <si>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</si>
  <si>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</si>
  <si>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</si>
  <si>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</si>
  <si>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</si>
  <si>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</si>
  <si>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</si>
  <si>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</si>
  <si>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</si>
  <si>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</si>
  <si>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</si>
  <si>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</si>
  <si>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</si>
  <si>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</si>
  <si>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</si>
  <si>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</si>
  <si>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</si>
  <si>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</si>
  <si>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</si>
  <si>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</si>
  <si>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</si>
  <si>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</si>
  <si>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</si>
  <si>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</si>
  <si>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</si>
  <si>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</si>
  <si>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</si>
  <si>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</si>
  <si>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</si>
  <si>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</si>
  <si>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</si>
  <si>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</si>
  <si>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</si>
  <si>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</si>
  <si>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</si>
  <si>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</si>
  <si>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</si>
  <si>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</si>
  <si>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</si>
  <si>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</si>
  <si>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</si>
  <si>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</si>
  <si>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</si>
  <si>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</si>
  <si>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</si>
  <si>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</si>
  <si>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</si>
  <si>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</si>
  <si>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</si>
  <si>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</si>
  <si>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</si>
  <si>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</si>
  <si>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</si>
  <si>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</si>
  <si>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</si>
  <si>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</si>
  <si>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</si>
  <si>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</si>
  <si>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</si>
  <si>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</si>
  <si>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</si>
  <si>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</si>
  <si>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</si>
  <si>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</si>
  <si>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</si>
  <si>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</si>
  <si>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</si>
  <si>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</si>
  <si>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</si>
  <si>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</si>
  <si>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</si>
  <si>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</si>
  <si>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</si>
  <si>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</si>
  <si>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</si>
  <si>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</si>
  <si>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</si>
  <si>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</si>
  <si>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</si>
  <si>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</si>
  <si>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</si>
  <si>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</si>
  <si>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</si>
  <si>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</si>
  <si>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</si>
  <si>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</si>
  <si>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</si>
  <si>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</si>
  <si>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</si>
  <si>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</si>
  <si>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</si>
  <si>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</si>
  <si>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</si>
  <si>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</si>
  <si>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</si>
  <si>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</si>
  <si>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</si>
  <si>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</si>
  <si>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</si>
  <si>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</si>
  <si>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</si>
  <si>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</si>
  <si>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</si>
  <si>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</si>
  <si>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</si>
  <si>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</si>
  <si>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</si>
  <si>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</si>
  <si>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</si>
  <si>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</si>
  <si>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</si>
  <si>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</si>
  <si>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</si>
  <si>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</si>
  <si>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</si>
  <si>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</si>
  <si>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</si>
  <si>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</si>
  <si>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</si>
  <si>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</si>
  <si>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</si>
  <si>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</si>
  <si>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</si>
  <si>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</si>
  <si>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</si>
  <si>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</si>
  <si>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</si>
  <si>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</si>
  <si>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</si>
  <si>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</si>
  <si>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</si>
  <si>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</si>
  <si>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</si>
  <si>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</si>
  <si>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</si>
  <si>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</si>
  <si>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</si>
  <si>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</si>
  <si>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</si>
  <si>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</si>
  <si>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</si>
  <si>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</si>
  <si>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</si>
  <si>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</si>
  <si>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</si>
  <si>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</si>
  <si>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</si>
  <si>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</si>
  <si>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</si>
  <si>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</si>
  <si>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</si>
  <si>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</si>
  <si>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</si>
  <si>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</si>
  <si>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</si>
  <si>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</si>
  <si>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</si>
  <si>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</si>
  <si>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</si>
  <si>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</si>
  <si>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</si>
  <si>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</si>
  <si>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</si>
  <si>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</si>
  <si>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</si>
  <si>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</si>
  <si>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</si>
  <si>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</si>
  <si>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</si>
  <si>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</si>
  <si>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</si>
  <si>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</si>
  <si>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</si>
  <si>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</si>
  <si>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</si>
  <si>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</si>
  <si>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</si>
  <si>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</si>
  <si>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</si>
  <si>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</si>
  <si>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</si>
  <si>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</si>
  <si>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</si>
  <si>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</si>
  <si>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</si>
  <si>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</si>
  <si>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</si>
  <si>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</si>
  <si>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</si>
  <si>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</si>
  <si>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</si>
  <si>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</si>
  <si>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</si>
  <si>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</si>
  <si>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</si>
  <si>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</si>
  <si>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</si>
  <si>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</si>
  <si>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</si>
  <si>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</si>
  <si>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</si>
  <si>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</si>
  <si>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</si>
  <si>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</si>
  <si>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</si>
  <si>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</si>
  <si>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</si>
  <si>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</si>
  <si>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</si>
  <si>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</si>
  <si>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</si>
  <si>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</si>
  <si>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Now</t>
  </si>
  <si>
    <t>DateDIF</t>
  </si>
  <si>
    <t>Eomonth</t>
  </si>
  <si>
    <t>Today</t>
  </si>
  <si>
    <t>Customer_value</t>
  </si>
  <si>
    <t>Customer_name</t>
  </si>
  <si>
    <t>total_revenue</t>
  </si>
  <si>
    <t>Row Labels</t>
  </si>
  <si>
    <t>Grand Total</t>
  </si>
  <si>
    <t>Sum of Total_Amount</t>
  </si>
  <si>
    <t>(All)</t>
  </si>
  <si>
    <t>Text_functions</t>
  </si>
  <si>
    <t>Most_frequent_Product</t>
  </si>
  <si>
    <t>Data - Intelligence</t>
  </si>
  <si>
    <t>KPI - Metrix</t>
  </si>
  <si>
    <t>Top Revenue :</t>
  </si>
  <si>
    <t>Top Customers :</t>
  </si>
  <si>
    <t>Top Sales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</si>
</sst>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_([$$-409]* #,##0.00_);_([$$-409]* \(#,##0.00\);_([$$-409]* &quot;-&quot;??_);_(@_)"/>
  </numFmts>
  <fonts count="13" x14ac:knownFonts="1">
    <font>
      <sz val="11"/>
      <color theme="1"/>
      <name val="Trebuchet MS"/>
      <scheme val="minor"/>
    </font>
    <font>
      <sz val="11"/>
      <color theme="1"/>
      <name val="Trebuchet MS"/>
      <family val="2"/>
      <scheme val="minor"/>
    </font>
    <font>
      <b/>
      <sz val="11"/>
      <color theme="1"/>
      <name val="Calibri"/>
      <family val="2"/>
    </font>
    <font>
      <sz val="11"/>
      <color theme="1"/>
      <name val="Trebuchet MS"/>
      <family val="2"/>
      <scheme val="minor"/>
    </font>
    <font>
      <sz val="11"/>
      <color theme="1"/>
      <name val="Calibri"/>
      <family val="2"/>
    </font>
    <font>
      <b/>
      <sz val="11"/>
      <color theme="1"/>
      <name val="Trebuchet MS"/>
      <family val="2"/>
      <scheme val="minor"/>
    </font>
    <font>
      <b/>
      <sz val="11"/>
      <color rgb="FF367526"/>
      <name val="Calibri"/>
      <family val="2"/>
    </font>
    <font>
      <sz val="11"/>
      <color rgb="FF38761D"/>
      <name val="Calibri"/>
      <family val="2"/>
    </font>
    <font>
      <b/>
      <i/>
      <sz val="11"/>
      <color theme="1"/>
      <name val="Trebuchet MS"/>
      <family val="2"/>
      <scheme val="minor"/>
    </font>
    <font>
      <b/>
      <sz val="11"/>
      <color theme="0" tint="-0.14999847407452621"/>
      <name val="Trebuchet MS"/>
      <family val="2"/>
      <scheme val="minor"/>
    </font>
    <font>
      <b/>
      <sz val="14"/>
      <color theme="1"/>
      <name val="Algerian"/>
      <family val="5"/>
    </font>
    <font>
      <b/>
      <sz val="18"/>
      <color theme="0"/>
      <name val="Bahnschrift SemiLight"/>
      <family val="2"/>
    </font>
    <font>
      <b/>
      <sz val="18"/>
      <color theme="0"/>
      <name val="Berlin Sans FB Demi"/>
      <family val="2"/>
    </font>
  </fonts>
  <fills count="16">
    <fill>
      <patternFill patternType="none"/>
    </fill>
    <fill>
      <patternFill patternType="gray125"/>
    </fill>
    <fill>
      <patternFill patternType="solid">
        <fgColor rgb="FFFFF2CC"/>
        <bgColor rgb="FFFFF2CC"/>
      </patternFill>
    </fill>
    <fill>
      <patternFill patternType="solid">
        <fgColor theme="4" tint="0.79998168889431442"/>
        <bgColor theme="4" tint="0.79998168889431442"/>
      </patternFill>
    </fill>
    <fill>
      <patternFill patternType="solid">
        <fgColor theme="5" tint="0.39997558519241921"/>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2" tint="-0.499984740745262"/>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8">
    <xf numFmtId="0" fontId="0" fillId="0" borderId="0" xfId="0"/>
    <xf numFmtId="0" fontId="2" fillId="2" borderId="1" xfId="0" applyFont="1" applyFill="1" applyBorder="1" applyAlignment="1">
      <alignment horizontal="center"/>
    </xf>
    <xf numFmtId="0" fontId="3" fillId="0" borderId="0" xfId="0" applyFont="1" applyAlignment="1">
      <alignment horizontal="center" vertical="center"/>
    </xf>
    <xf numFmtId="0" fontId="5" fillId="0" borderId="0" xfId="0" applyFont="1"/>
    <xf numFmtId="0" fontId="3" fillId="0" borderId="0" xfId="0" applyFont="1"/>
    <xf numFmtId="164" fontId="3" fillId="0" borderId="0" xfId="0" applyNumberFormat="1" applyFont="1"/>
    <xf numFmtId="0" fontId="4" fillId="0" borderId="1" xfId="0" applyFont="1" applyBorder="1" applyAlignment="1">
      <alignment wrapText="1"/>
    </xf>
    <xf numFmtId="0" fontId="0" fillId="4" borderId="3" xfId="0" applyFill="1" applyBorder="1"/>
    <xf numFmtId="0" fontId="5" fillId="5" borderId="3" xfId="0" applyFont="1" applyFill="1" applyBorder="1"/>
    <xf numFmtId="14" fontId="0" fillId="6" borderId="3" xfId="0" applyNumberFormat="1" applyFill="1" applyBorder="1"/>
    <xf numFmtId="22" fontId="0" fillId="6" borderId="3" xfId="0" applyNumberFormat="1" applyFill="1" applyBorder="1"/>
    <xf numFmtId="0" fontId="0" fillId="6" borderId="3" xfId="0" applyFill="1" applyBorder="1"/>
    <xf numFmtId="0" fontId="3" fillId="7" borderId="0" xfId="0" applyFont="1" applyFill="1"/>
    <xf numFmtId="0" fontId="0" fillId="9" borderId="3" xfId="0" applyFill="1" applyBorder="1"/>
    <xf numFmtId="0" fontId="5" fillId="8" borderId="3" xfId="0" applyFont="1" applyFill="1" applyBorder="1"/>
    <xf numFmtId="0" fontId="0" fillId="3" borderId="2" xfId="0" applyFill="1" applyBorder="1"/>
    <xf numFmtId="0" fontId="0" fillId="0" borderId="2" xfId="0" applyBorder="1"/>
    <xf numFmtId="0" fontId="8" fillId="10" borderId="0" xfId="0" applyFont="1" applyFill="1"/>
    <xf numFmtId="0" fontId="0" fillId="11" borderId="3" xfId="0" applyFill="1" applyBorder="1"/>
    <xf numFmtId="0" fontId="0" fillId="11" borderId="5" xfId="0" applyFill="1" applyBorder="1"/>
    <xf numFmtId="0" fontId="8" fillId="5" borderId="4" xfId="0" applyFont="1" applyFill="1" applyBorder="1"/>
    <xf numFmtId="0" fontId="0" fillId="0" borderId="0" xfId="0" pivotButton="1"/>
    <xf numFmtId="0" fontId="0" fillId="0" borderId="0" xfId="0" applyAlignment="1">
      <alignment horizontal="left"/>
    </xf>
    <xf numFmtId="0" fontId="0" fillId="12" borderId="3" xfId="0" applyFill="1" applyBorder="1" applyAlignment="1">
      <alignment horizontal="center"/>
    </xf>
    <xf numFmtId="0" fontId="0" fillId="12" borderId="3" xfId="0" applyFill="1" applyBorder="1"/>
    <xf numFmtId="0" fontId="0" fillId="13" borderId="3" xfId="0" applyFill="1" applyBorder="1" applyAlignment="1">
      <alignment horizontal="center"/>
    </xf>
    <xf numFmtId="0" fontId="8" fillId="7" borderId="3" xfId="0" applyFont="1" applyFill="1" applyBorder="1"/>
    <xf numFmtId="0" fontId="8" fillId="14" borderId="3" xfId="0" applyFont="1" applyFill="1" applyBorder="1"/>
    <xf numFmtId="0" fontId="0" fillId="11" borderId="3" xfId="0" applyFill="1" applyBorder="1" applyAlignment="1">
      <alignment horizontal="center"/>
    </xf>
    <xf numFmtId="0" fontId="0" fillId="15" borderId="3" xfId="0" applyFill="1" applyBorder="1"/>
    <xf numFmtId="0" fontId="0" fillId="15" borderId="10" xfId="0" applyFill="1" applyBorder="1"/>
    <xf numFmtId="0" fontId="0" fillId="15" borderId="5" xfId="0" applyFill="1" applyBorder="1"/>
    <xf numFmtId="0" fontId="0" fillId="15" borderId="6" xfId="0" applyFill="1" applyBorder="1" applyAlignment="1">
      <alignment vertical="center"/>
    </xf>
    <xf numFmtId="0" fontId="0" fillId="15" borderId="7" xfId="0" applyFill="1" applyBorder="1" applyAlignment="1">
      <alignment vertical="center"/>
    </xf>
    <xf numFmtId="0" fontId="0" fillId="15" borderId="8" xfId="0" applyFill="1" applyBorder="1" applyAlignment="1">
      <alignment vertical="center"/>
    </xf>
    <xf numFmtId="0" fontId="0" fillId="15" borderId="9" xfId="0" applyFill="1" applyBorder="1" applyAlignment="1">
      <alignment vertical="center"/>
    </xf>
    <xf numFmtId="0" fontId="0" fillId="15" borderId="0" xfId="0" applyFill="1" applyAlignment="1">
      <alignment vertical="center"/>
    </xf>
    <xf numFmtId="0" fontId="0" fillId="15" borderId="0" xfId="0" applyFill="1"/>
    <xf numFmtId="0" fontId="9" fillId="15" borderId="0" xfId="0" applyFont="1" applyFill="1" applyAlignment="1">
      <alignment horizontal="center"/>
    </xf>
    <xf numFmtId="0" fontId="1" fillId="15" borderId="0" xfId="0" applyFont="1" applyFill="1" applyAlignment="1">
      <alignment horizontal="center"/>
    </xf>
    <xf numFmtId="165" fontId="0" fillId="15" borderId="0" xfId="0" applyNumberFormat="1" applyFill="1" applyAlignment="1">
      <alignment horizontal="center"/>
    </xf>
    <xf numFmtId="0" fontId="0" fillId="15" borderId="0" xfId="0" applyFill="1" applyAlignment="1">
      <alignment horizontal="center"/>
    </xf>
    <xf numFmtId="0" fontId="0" fillId="0" borderId="0" xfId="0" applyNumberFormat="1"/>
    <xf numFmtId="0" fontId="10" fillId="10" borderId="11" xfId="0" applyFont="1" applyFill="1" applyBorder="1" applyAlignment="1">
      <alignment horizontal="center" vertical="center"/>
    </xf>
    <xf numFmtId="0" fontId="10" fillId="10" borderId="12" xfId="0" applyFont="1" applyFill="1" applyBorder="1" applyAlignment="1">
      <alignment horizontal="center" vertical="center"/>
    </xf>
    <xf numFmtId="0" fontId="10" fillId="10" borderId="13" xfId="0" applyFont="1" applyFill="1" applyBorder="1" applyAlignment="1">
      <alignment horizontal="center" vertical="center"/>
    </xf>
    <xf numFmtId="0" fontId="11" fillId="15" borderId="0" xfId="0" applyFont="1" applyFill="1" applyAlignment="1">
      <alignment horizontal="center" vertical="center"/>
    </xf>
    <xf numFmtId="0" fontId="12" fillId="15" borderId="0" xfId="0" applyFont="1" applyFill="1" applyAlignment="1">
      <alignment horizontal="center" vertical="center"/>
    </xf>
  </cellXfs>
  <cellStyles count="1">
    <cellStyle name="Normal" xfId="0" builtinId="0"/>
  </cellStyles>
  <dxfs count="20">
    <dxf>
      <numFmt numFmtId="0" formatCode="General"/>
      <fill>
        <patternFill patternType="solid">
          <fgColor indexed="64"/>
          <bgColor theme="6"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7" tint="0.79998168889431442"/>
        </patternFill>
      </fill>
      <border diagonalUp="0" diagonalDown="0" outline="0">
        <left style="thin">
          <color indexed="64"/>
        </left>
        <right/>
        <top style="thin">
          <color indexed="64"/>
        </top>
        <bottom style="thin">
          <color indexed="64"/>
        </bottom>
      </border>
    </dxf>
    <dxf>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Trebuchet MS"/>
        <scheme val="minor"/>
      </font>
      <numFmt numFmtId="27" formatCode="m/d/yyyy\ h:mm"/>
      <fill>
        <patternFill patternType="solid">
          <fgColor indexed="64"/>
          <bgColor theme="7"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Trebuchet MS"/>
        <scheme val="minor"/>
      </font>
      <numFmt numFmtId="19" formatCode="m/d/yyyy"/>
      <fill>
        <patternFill patternType="solid">
          <fgColor indexed="64"/>
          <bgColor theme="7" tint="0.79998168889431442"/>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Trebuchet MS"/>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Trebuchet MS"/>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Trebuchet MS"/>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Trebuchet MS"/>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Trebuchet MS"/>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Trebuchet MS"/>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Trebuchet MS"/>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Trebuchet MS"/>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Trebuchet MS"/>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Trebuchet MS"/>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Trebuchet MS"/>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Trebuchet MS"/>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Trebuchet MS"/>
        <scheme val="minor"/>
      </font>
      <numFmt numFmtId="164" formatCode="yyyy\-mm\-dd"/>
      <alignment horizontal="general" vertical="bottom" textRotation="0" wrapText="0" indent="0" justifyLastLine="0" shrinkToFit="0" readingOrder="0"/>
    </dxf>
    <dxf>
      <font>
        <b val="0"/>
        <i val="0"/>
        <strike val="0"/>
        <condense val="0"/>
        <extend val="0"/>
        <outline val="0"/>
        <shadow val="0"/>
        <u val="none"/>
        <vertAlign val="baseline"/>
        <sz val="11"/>
        <color theme="1"/>
        <name val="Trebuchet MS"/>
        <scheme val="minor"/>
      </font>
      <alignment horizontal="general" vertical="bottom" textRotation="0" wrapText="0" indent="0" justifyLastLine="0" shrinkToFit="0" readingOrder="0"/>
    </dxf>
    <dxf>
      <font>
        <b/>
        <i val="0"/>
        <strike val="0"/>
        <condense val="0"/>
        <extend val="0"/>
        <outline val="0"/>
        <shadow val="0"/>
        <u val="none"/>
        <vertAlign val="baseline"/>
        <sz val="11"/>
        <color theme="1"/>
        <name val="Trebuchet MS"/>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2.xlsx]Pivort_Table-Charts!PivotTable1</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0">
                <a:latin typeface="Agency FB" panose="020B0503020202020204" pitchFamily="34" charset="0"/>
              </a:rPr>
              <a:t>Bar_chart</a:t>
            </a:r>
          </a:p>
        </c:rich>
      </c:tx>
      <c:layout>
        <c:manualLayout>
          <c:xMode val="edge"/>
          <c:yMode val="edge"/>
          <c:x val="0.57373271323540698"/>
          <c:y val="9.64106759382349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'Pivort_Table-Charts'!$B$3</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'Pivort_Table-Charts'!$A$4:$A$9</c:f>
              <c:strCache>
                <c:ptCount val="5"/>
                <c:pt idx="0">
                  <c:v>Headphones</c:v>
                </c:pt>
                <c:pt idx="1">
                  <c:v>Keyboard</c:v>
                </c:pt>
                <c:pt idx="2">
                  <c:v>Laptop</c:v>
                </c:pt>
                <c:pt idx="3">
                  <c:v>Monitor</c:v>
                </c:pt>
                <c:pt idx="4">
                  <c:v>Smartphone</c:v>
                </c:pt>
              </c:strCache>
            </c:strRef>
          </c:cat>
          <c:val>
            <c:numRef>
              <c:f>'Pivort_Table-Charts'!$B$4:$B$9</c:f>
              <c:numCache>
                <c:formatCode>General</c:formatCode>
                <c:ptCount val="5"/>
                <c:pt idx="0">
                  <c:v>7049.5299999999988</c:v>
                </c:pt>
                <c:pt idx="1">
                  <c:v>8009.109999999996</c:v>
                </c:pt>
                <c:pt idx="2">
                  <c:v>67499.249999999985</c:v>
                </c:pt>
                <c:pt idx="3">
                  <c:v>24249.150000000005</c:v>
                </c:pt>
                <c:pt idx="4">
                  <c:v>67199.040000000023</c:v>
                </c:pt>
              </c:numCache>
            </c:numRef>
          </c:val>
          <c:extLst>
            <c:ext xmlns:c16="http://schemas.microsoft.com/office/drawing/2014/chart" uri="{C3380CC4-5D6E-409C-BE32-E72D297353CC}">
              <c16:uniqueId val="{00000000-7E87-4D55-AEE4-ABE806AC9545}"/>
            </c:ext>
          </c:extLst>
        </c:ser>
        <c:dLbls>
          <c:showLegendKey val="0"/>
          <c:showVal val="0"/>
          <c:showCatName val="0"/>
          <c:showSerName val="0"/>
          <c:showPercent val="0"/>
          <c:showBubbleSize val="0"/>
        </c:dLbls>
        <c:gapWidth val="100"/>
        <c:overlap val="-24"/>
        <c:axId val="1873781600"/>
        <c:axId val="1873782080"/>
      </c:barChart>
      <c:catAx>
        <c:axId val="18737816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3782080"/>
        <c:crosses val="autoZero"/>
        <c:auto val="1"/>
        <c:lblAlgn val="ctr"/>
        <c:lblOffset val="100"/>
        <c:noMultiLvlLbl val="0"/>
      </c:catAx>
      <c:valAx>
        <c:axId val="1873782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378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2.xlsx]Pivort_Table-Charts!PivotTable1</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Line_Chart</a:t>
            </a:r>
          </a:p>
        </c:rich>
      </c:tx>
      <c:layout>
        <c:manualLayout>
          <c:xMode val="edge"/>
          <c:yMode val="edge"/>
          <c:x val="0.43804305283757339"/>
          <c:y val="0.1619853488463195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'Pivort_Table-Charts'!$B$3</c:f>
              <c:strCache>
                <c:ptCount val="1"/>
                <c:pt idx="0">
                  <c:v>Total</c:v>
                </c:pt>
              </c:strCache>
            </c:strRef>
          </c:tx>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cat>
            <c:strRef>
              <c:f>'Pivort_Table-Charts'!$A$4:$A$9</c:f>
              <c:strCache>
                <c:ptCount val="5"/>
                <c:pt idx="0">
                  <c:v>Headphones</c:v>
                </c:pt>
                <c:pt idx="1">
                  <c:v>Keyboard</c:v>
                </c:pt>
                <c:pt idx="2">
                  <c:v>Laptop</c:v>
                </c:pt>
                <c:pt idx="3">
                  <c:v>Monitor</c:v>
                </c:pt>
                <c:pt idx="4">
                  <c:v>Smartphone</c:v>
                </c:pt>
              </c:strCache>
            </c:strRef>
          </c:cat>
          <c:val>
            <c:numRef>
              <c:f>'Pivort_Table-Charts'!$B$4:$B$9</c:f>
              <c:numCache>
                <c:formatCode>General</c:formatCode>
                <c:ptCount val="5"/>
                <c:pt idx="0">
                  <c:v>7049.5299999999988</c:v>
                </c:pt>
                <c:pt idx="1">
                  <c:v>8009.109999999996</c:v>
                </c:pt>
                <c:pt idx="2">
                  <c:v>67499.249999999985</c:v>
                </c:pt>
                <c:pt idx="3">
                  <c:v>24249.150000000005</c:v>
                </c:pt>
                <c:pt idx="4">
                  <c:v>67199.040000000023</c:v>
                </c:pt>
              </c:numCache>
            </c:numRef>
          </c:val>
          <c:smooth val="0"/>
          <c:extLst>
            <c:ext xmlns:c16="http://schemas.microsoft.com/office/drawing/2014/chart" uri="{C3380CC4-5D6E-409C-BE32-E72D297353CC}">
              <c16:uniqueId val="{00000000-73B6-4CFB-B5BD-0125A9AE2E88}"/>
            </c:ext>
          </c:extLst>
        </c:ser>
        <c:dLbls>
          <c:showLegendKey val="0"/>
          <c:showVal val="0"/>
          <c:showCatName val="0"/>
          <c:showSerName val="0"/>
          <c:showPercent val="0"/>
          <c:showBubbleSize val="0"/>
        </c:dLbls>
        <c:marker val="1"/>
        <c:smooth val="0"/>
        <c:axId val="2041928512"/>
        <c:axId val="2041928992"/>
      </c:lineChart>
      <c:catAx>
        <c:axId val="20419285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1928992"/>
        <c:crosses val="autoZero"/>
        <c:auto val="1"/>
        <c:lblAlgn val="ctr"/>
        <c:lblOffset val="100"/>
        <c:noMultiLvlLbl val="0"/>
      </c:catAx>
      <c:valAx>
        <c:axId val="20419289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192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2.xlsx]Pivort_Table-Charts!PivotTable1</c:name>
    <c:fmtId val="34"/>
  </c:pivotSource>
  <c:chart>
    <c:title>
      <c:tx>
        <c:rich>
          <a:bodyPr rot="0" spcFirstLastPara="1" vertOverflow="ellipsis" vert="horz" wrap="square" anchor="ctr" anchorCtr="1"/>
          <a:lstStyle/>
          <a:p>
            <a:pPr>
              <a:defRPr sz="1600" b="1" i="0" u="none" strike="noStrike" kern="1200" spc="100" baseline="0">
                <a:ln>
                  <a:solidFill>
                    <a:schemeClr val="accent1"/>
                  </a:solid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Pie_Chart</a:t>
            </a:r>
          </a:p>
        </c:rich>
      </c:tx>
      <c:layout>
        <c:manualLayout>
          <c:xMode val="edge"/>
          <c:yMode val="edge"/>
          <c:x val="0.2973212194629517"/>
          <c:y val="0.13329768937440883"/>
        </c:manualLayout>
      </c:layout>
      <c:overlay val="0"/>
      <c:spPr>
        <a:noFill/>
        <a:ln>
          <a:noFill/>
        </a:ln>
        <a:effectLst/>
      </c:spPr>
      <c:txPr>
        <a:bodyPr rot="0" spcFirstLastPara="1" vertOverflow="ellipsis" vert="horz" wrap="square" anchor="ctr" anchorCtr="1"/>
        <a:lstStyle/>
        <a:p>
          <a:pPr>
            <a:defRPr sz="1600" b="1" i="0" u="none" strike="noStrike" kern="1200" spc="100" baseline="0">
              <a:ln>
                <a:solidFill>
                  <a:schemeClr val="accent1"/>
                </a:solid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1363052695336161E-2"/>
          <c:y val="0.34263529521970054"/>
          <c:w val="0.62476947304663843"/>
          <c:h val="0.63402743790985094"/>
        </c:manualLayout>
      </c:layout>
      <c:pie3DChart>
        <c:varyColors val="1"/>
        <c:ser>
          <c:idx val="0"/>
          <c:order val="0"/>
          <c:tx>
            <c:strRef>
              <c:f>'Pivort_Table-Charts'!$B$3</c:f>
              <c:strCache>
                <c:ptCount val="1"/>
                <c:pt idx="0">
                  <c:v>Total</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8-17DF-44C3-ACA9-50532A035776}"/>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17DF-44C3-ACA9-50532A035776}"/>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6-17DF-44C3-ACA9-50532A035776}"/>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17DF-44C3-ACA9-50532A035776}"/>
              </c:ext>
            </c:extLst>
          </c:dPt>
          <c:dPt>
            <c:idx val="4"/>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4-17DF-44C3-ACA9-50532A035776}"/>
              </c:ext>
            </c:extLst>
          </c:dPt>
          <c:dPt>
            <c:idx val="5"/>
            <c:bubble3D val="0"/>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17DF-44C3-ACA9-50532A035776}"/>
              </c:ext>
            </c:extLst>
          </c:dPt>
          <c:dPt>
            <c:idx val="6"/>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D-AD6F-4E2C-99A2-2EB347BF2360}"/>
              </c:ext>
            </c:extLst>
          </c:dPt>
          <c:dPt>
            <c:idx val="7"/>
            <c:bubble3D val="0"/>
            <c:spPr>
              <a:gradFill rotWithShape="1">
                <a:gsLst>
                  <a:gs pos="0">
                    <a:schemeClr val="accent2">
                      <a:lumMod val="60000"/>
                      <a:tint val="96000"/>
                      <a:lumMod val="100000"/>
                    </a:schemeClr>
                  </a:gs>
                  <a:gs pos="78000">
                    <a:schemeClr val="accent2">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9-17DF-44C3-ACA9-50532A035776}"/>
              </c:ext>
            </c:extLst>
          </c:dPt>
          <c:dPt>
            <c:idx val="8"/>
            <c:bubble3D val="0"/>
            <c:spPr>
              <a:gradFill rotWithShape="1">
                <a:gsLst>
                  <a:gs pos="0">
                    <a:schemeClr val="accent3">
                      <a:lumMod val="60000"/>
                      <a:tint val="96000"/>
                      <a:lumMod val="100000"/>
                    </a:schemeClr>
                  </a:gs>
                  <a:gs pos="78000">
                    <a:schemeClr val="accent3">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A-17DF-44C3-ACA9-50532A035776}"/>
              </c:ext>
            </c:extLst>
          </c:dPt>
          <c:dPt>
            <c:idx val="9"/>
            <c:bubble3D val="0"/>
            <c:spPr>
              <a:gradFill rotWithShape="1">
                <a:gsLst>
                  <a:gs pos="0">
                    <a:schemeClr val="accent4">
                      <a:lumMod val="60000"/>
                      <a:tint val="96000"/>
                      <a:lumMod val="100000"/>
                    </a:schemeClr>
                  </a:gs>
                  <a:gs pos="78000">
                    <a:schemeClr val="accent4">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B-17DF-44C3-ACA9-50532A035776}"/>
              </c:ext>
            </c:extLst>
          </c:dPt>
          <c:cat>
            <c:strRef>
              <c:f>'Pivort_Table-Charts'!$A$4:$A$9</c:f>
              <c:strCache>
                <c:ptCount val="5"/>
                <c:pt idx="0">
                  <c:v>Headphones</c:v>
                </c:pt>
                <c:pt idx="1">
                  <c:v>Keyboard</c:v>
                </c:pt>
                <c:pt idx="2">
                  <c:v>Laptop</c:v>
                </c:pt>
                <c:pt idx="3">
                  <c:v>Monitor</c:v>
                </c:pt>
                <c:pt idx="4">
                  <c:v>Smartphone</c:v>
                </c:pt>
              </c:strCache>
            </c:strRef>
          </c:cat>
          <c:val>
            <c:numRef>
              <c:f>'Pivort_Table-Charts'!$B$4:$B$9</c:f>
              <c:numCache>
                <c:formatCode>General</c:formatCode>
                <c:ptCount val="5"/>
                <c:pt idx="0">
                  <c:v>7049.5299999999988</c:v>
                </c:pt>
                <c:pt idx="1">
                  <c:v>8009.109999999996</c:v>
                </c:pt>
                <c:pt idx="2">
                  <c:v>67499.249999999985</c:v>
                </c:pt>
                <c:pt idx="3">
                  <c:v>24249.150000000005</c:v>
                </c:pt>
                <c:pt idx="4">
                  <c:v>67199.040000000023</c:v>
                </c:pt>
              </c:numCache>
            </c:numRef>
          </c:val>
          <c:extLst>
            <c:ext xmlns:c16="http://schemas.microsoft.com/office/drawing/2014/chart" uri="{C3380CC4-5D6E-409C-BE32-E72D297353CC}">
              <c16:uniqueId val="{00000000-17DF-44C3-ACA9-50532A035776}"/>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n>
            <a:solidFill>
              <a:schemeClr val="accent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2.xlsx]Pivort_Table-Charts!PivotTable1</c:name>
    <c:fmtId val="7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0">
                <a:latin typeface="Agency FB" panose="020B0503020202020204" pitchFamily="34" charset="0"/>
              </a:rPr>
              <a:t>Bar_chart</a:t>
            </a:r>
          </a:p>
        </c:rich>
      </c:tx>
      <c:layout>
        <c:manualLayout>
          <c:xMode val="edge"/>
          <c:yMode val="edge"/>
          <c:x val="0.57373271323540698"/>
          <c:y val="9.64106759382349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'Pivort_Table-Charts'!$B$3</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'Pivort_Table-Charts'!$A$4:$A$9</c:f>
              <c:strCache>
                <c:ptCount val="5"/>
                <c:pt idx="0">
                  <c:v>Headphones</c:v>
                </c:pt>
                <c:pt idx="1">
                  <c:v>Keyboard</c:v>
                </c:pt>
                <c:pt idx="2">
                  <c:v>Laptop</c:v>
                </c:pt>
                <c:pt idx="3">
                  <c:v>Monitor</c:v>
                </c:pt>
                <c:pt idx="4">
                  <c:v>Smartphone</c:v>
                </c:pt>
              </c:strCache>
            </c:strRef>
          </c:cat>
          <c:val>
            <c:numRef>
              <c:f>'Pivort_Table-Charts'!$B$4:$B$9</c:f>
              <c:numCache>
                <c:formatCode>General</c:formatCode>
                <c:ptCount val="5"/>
                <c:pt idx="0">
                  <c:v>7049.5299999999988</c:v>
                </c:pt>
                <c:pt idx="1">
                  <c:v>8009.109999999996</c:v>
                </c:pt>
                <c:pt idx="2">
                  <c:v>67499.249999999985</c:v>
                </c:pt>
                <c:pt idx="3">
                  <c:v>24249.150000000005</c:v>
                </c:pt>
                <c:pt idx="4">
                  <c:v>67199.040000000023</c:v>
                </c:pt>
              </c:numCache>
            </c:numRef>
          </c:val>
          <c:extLst>
            <c:ext xmlns:c16="http://schemas.microsoft.com/office/drawing/2014/chart" uri="{C3380CC4-5D6E-409C-BE32-E72D297353CC}">
              <c16:uniqueId val="{00000000-91DD-4575-B2A8-B0B2674A967C}"/>
            </c:ext>
          </c:extLst>
        </c:ser>
        <c:dLbls>
          <c:showLegendKey val="0"/>
          <c:showVal val="0"/>
          <c:showCatName val="0"/>
          <c:showSerName val="0"/>
          <c:showPercent val="0"/>
          <c:showBubbleSize val="0"/>
        </c:dLbls>
        <c:gapWidth val="100"/>
        <c:overlap val="-24"/>
        <c:axId val="1873781600"/>
        <c:axId val="1873782080"/>
      </c:barChart>
      <c:catAx>
        <c:axId val="18737816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3782080"/>
        <c:crosses val="autoZero"/>
        <c:auto val="1"/>
        <c:lblAlgn val="ctr"/>
        <c:lblOffset val="100"/>
        <c:noMultiLvlLbl val="0"/>
      </c:catAx>
      <c:valAx>
        <c:axId val="1873782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3781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2.xlsx]Pivort_Table-Charts!PivotTable1</c:name>
    <c:fmtId val="7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Line_Chart</a:t>
            </a:r>
          </a:p>
        </c:rich>
      </c:tx>
      <c:layout>
        <c:manualLayout>
          <c:xMode val="edge"/>
          <c:yMode val="edge"/>
          <c:x val="0.43804305283757339"/>
          <c:y val="0.1619853488463195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34925" cap="rnd">
            <a:solidFill>
              <a:schemeClr val="accent1"/>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symbol val="circle"/>
          <c:size val="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9525">
              <a:solidFill>
                <a:schemeClr val="accent1"/>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38100" dist="25400" dir="5400000" rotWithShape="0">
              <a:srgbClr val="000000">
                <a:alpha val="45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w="9525">
              <a:solidFill>
                <a:schemeClr val="accent1"/>
              </a:solidFill>
              <a:round/>
            </a:ln>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rgbClr r="0" g="0" b="0">
                  <a:shade val="27000"/>
                  <a:satMod val="12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'Pivort_Table-Charts'!$B$3</c:f>
              <c:strCache>
                <c:ptCount val="1"/>
                <c:pt idx="0">
                  <c:v>Total</c:v>
                </c:pt>
              </c:strCache>
            </c:strRef>
          </c:tx>
          <c:spPr>
            <a:ln w="34925" cap="rnd">
              <a:solidFill>
                <a:schemeClr val="accent1"/>
              </a:solidFill>
              <a:round/>
            </a:ln>
            <a:effectLst>
              <a:outerShdw blurRad="50800" dist="38100" dir="5400000" rotWithShape="0">
                <a:srgbClr val="000000">
                  <a:alpha val="35000"/>
                </a:srgbClr>
              </a:outerShdw>
            </a:effectLst>
          </c:spPr>
          <c:marker>
            <c:symbol val="circle"/>
            <c:size val="6"/>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cat>
            <c:strRef>
              <c:f>'Pivort_Table-Charts'!$A$4:$A$9</c:f>
              <c:strCache>
                <c:ptCount val="5"/>
                <c:pt idx="0">
                  <c:v>Headphones</c:v>
                </c:pt>
                <c:pt idx="1">
                  <c:v>Keyboard</c:v>
                </c:pt>
                <c:pt idx="2">
                  <c:v>Laptop</c:v>
                </c:pt>
                <c:pt idx="3">
                  <c:v>Monitor</c:v>
                </c:pt>
                <c:pt idx="4">
                  <c:v>Smartphone</c:v>
                </c:pt>
              </c:strCache>
            </c:strRef>
          </c:cat>
          <c:val>
            <c:numRef>
              <c:f>'Pivort_Table-Charts'!$B$4:$B$9</c:f>
              <c:numCache>
                <c:formatCode>General</c:formatCode>
                <c:ptCount val="5"/>
                <c:pt idx="0">
                  <c:v>7049.5299999999988</c:v>
                </c:pt>
                <c:pt idx="1">
                  <c:v>8009.109999999996</c:v>
                </c:pt>
                <c:pt idx="2">
                  <c:v>67499.249999999985</c:v>
                </c:pt>
                <c:pt idx="3">
                  <c:v>24249.150000000005</c:v>
                </c:pt>
                <c:pt idx="4">
                  <c:v>67199.040000000023</c:v>
                </c:pt>
              </c:numCache>
            </c:numRef>
          </c:val>
          <c:smooth val="0"/>
          <c:extLst>
            <c:ext xmlns:c16="http://schemas.microsoft.com/office/drawing/2014/chart" uri="{C3380CC4-5D6E-409C-BE32-E72D297353CC}">
              <c16:uniqueId val="{00000000-6E58-47BC-8FBC-4E470F5C4E3C}"/>
            </c:ext>
          </c:extLst>
        </c:ser>
        <c:dLbls>
          <c:showLegendKey val="0"/>
          <c:showVal val="0"/>
          <c:showCatName val="0"/>
          <c:showSerName val="0"/>
          <c:showPercent val="0"/>
          <c:showBubbleSize val="0"/>
        </c:dLbls>
        <c:marker val="1"/>
        <c:smooth val="0"/>
        <c:axId val="2041928512"/>
        <c:axId val="2041928992"/>
      </c:lineChart>
      <c:catAx>
        <c:axId val="2041928512"/>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1928992"/>
        <c:crosses val="autoZero"/>
        <c:auto val="1"/>
        <c:lblAlgn val="ctr"/>
        <c:lblOffset val="100"/>
        <c:noMultiLvlLbl val="0"/>
      </c:catAx>
      <c:valAx>
        <c:axId val="20419289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1928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 2.xlsx]Pivort_Table-Charts!PivotTable1</c:name>
    <c:fmtId val="82"/>
  </c:pivotSource>
  <c:chart>
    <c:title>
      <c:tx>
        <c:rich>
          <a:bodyPr rot="0" spcFirstLastPara="1" vertOverflow="ellipsis" vert="horz" wrap="square" anchor="ctr" anchorCtr="1"/>
          <a:lstStyle/>
          <a:p>
            <a:pPr>
              <a:defRPr sz="1600" b="1" i="0" u="none" strike="noStrike" kern="1200" spc="100" baseline="0">
                <a:ln>
                  <a:solidFill>
                    <a:schemeClr val="accent1"/>
                  </a:solid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Pie_Chart</a:t>
            </a:r>
          </a:p>
        </c:rich>
      </c:tx>
      <c:layout>
        <c:manualLayout>
          <c:xMode val="edge"/>
          <c:yMode val="edge"/>
          <c:x val="0.2973212194629517"/>
          <c:y val="0.13329768937440883"/>
        </c:manualLayout>
      </c:layout>
      <c:overlay val="0"/>
      <c:spPr>
        <a:noFill/>
        <a:ln>
          <a:noFill/>
        </a:ln>
        <a:effectLst/>
      </c:spPr>
      <c:txPr>
        <a:bodyPr rot="0" spcFirstLastPara="1" vertOverflow="ellipsis" vert="horz" wrap="square" anchor="ctr" anchorCtr="1"/>
        <a:lstStyle/>
        <a:p>
          <a:pPr>
            <a:defRPr sz="1600" b="1" i="0" u="none" strike="noStrike" kern="1200" spc="100" baseline="0">
              <a:ln>
                <a:solidFill>
                  <a:schemeClr val="accent1"/>
                </a:solidFill>
              </a:ln>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1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1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13"/>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14"/>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15"/>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16"/>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17"/>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18"/>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19"/>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20"/>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21"/>
        <c:spPr>
          <a:gradFill rotWithShape="1">
            <a:gsLst>
              <a:gs pos="0">
                <a:schemeClr val="accent1"/>
              </a:gs>
              <a:gs pos="90000">
                <a:schemeClr val="accent1">
                  <a:shade val="100000"/>
                  <a:satMod val="105000"/>
                </a:schemeClr>
              </a:gs>
              <a:gs pos="100000">
                <a:schemeClr val="accent1">
                  <a:shade val="80000"/>
                  <a:satMod val="120000"/>
                </a:schemeClr>
              </a:gs>
            </a:gsLst>
            <a:path path="circle">
              <a:fillToRect l="100000" t="100000" r="100000" b="100000"/>
            </a:path>
          </a:gradFill>
          <a:ln>
            <a:noFill/>
          </a:ln>
          <a:effectLst>
            <a:outerShdw blurRad="38100" dist="25400" dir="5400000" rotWithShape="0">
              <a:srgbClr val="000000">
                <a:alpha val="45000"/>
              </a:srgbClr>
            </a:outerShdw>
          </a:effectLst>
          <a:scene3d>
            <a:camera prst="orthographicFront">
              <a:rot lat="0" lon="0" rev="0"/>
            </a:camera>
            <a:lightRig rig="brightRoom" dir="t"/>
          </a:scene3d>
          <a:sp3d extrusionH="12700" prstMaterial="flat">
            <a:bevelT w="63500" h="152400" prst="angle"/>
            <a:contourClr>
              <a:scrgbClr r="0" g="0" b="0">
                <a:shade val="27000"/>
                <a:satMod val="120000"/>
              </a:scrgbClr>
            </a:contourClr>
          </a:sp3d>
        </c:spPr>
      </c:pivotFmt>
      <c:pivotFmt>
        <c:idx val="2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3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698338285925159E-2"/>
          <c:y val="0.28087902950319055"/>
          <c:w val="0.62476947304663843"/>
          <c:h val="0.63402743790985094"/>
        </c:manualLayout>
      </c:layout>
      <c:pie3DChart>
        <c:varyColors val="1"/>
        <c:ser>
          <c:idx val="0"/>
          <c:order val="0"/>
          <c:tx>
            <c:strRef>
              <c:f>'Pivort_Table-Charts'!$B$3</c:f>
              <c:strCache>
                <c:ptCount val="1"/>
                <c:pt idx="0">
                  <c:v>Total</c:v>
                </c:pt>
              </c:strCache>
            </c:strRef>
          </c:tx>
          <c:dPt>
            <c:idx val="0"/>
            <c:bubble3D val="0"/>
            <c:explosion val="5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97E4-4853-BAB1-7AC6E7C1B968}"/>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97E4-4853-BAB1-7AC6E7C1B968}"/>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97E4-4853-BAB1-7AC6E7C1B968}"/>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97E4-4853-BAB1-7AC6E7C1B968}"/>
              </c:ext>
            </c:extLst>
          </c:dPt>
          <c:dPt>
            <c:idx val="4"/>
            <c:bubble3D val="0"/>
            <c:spPr>
              <a:gradFill rotWithShape="1">
                <a:gsLst>
                  <a:gs pos="0">
                    <a:schemeClr val="accent5">
                      <a:tint val="96000"/>
                      <a:lumMod val="100000"/>
                    </a:schemeClr>
                  </a:gs>
                  <a:gs pos="78000">
                    <a:schemeClr val="accent5">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9-97E4-4853-BAB1-7AC6E7C1B968}"/>
              </c:ext>
            </c:extLst>
          </c:dPt>
          <c:dPt>
            <c:idx val="5"/>
            <c:bubble3D val="0"/>
            <c:spPr>
              <a:gradFill rotWithShape="1">
                <a:gsLst>
                  <a:gs pos="0">
                    <a:schemeClr val="accent6">
                      <a:tint val="96000"/>
                      <a:lumMod val="100000"/>
                    </a:schemeClr>
                  </a:gs>
                  <a:gs pos="78000">
                    <a:schemeClr val="accent6">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B-97E4-4853-BAB1-7AC6E7C1B968}"/>
              </c:ext>
            </c:extLst>
          </c:dPt>
          <c:dPt>
            <c:idx val="6"/>
            <c:bubble3D val="0"/>
            <c:spPr>
              <a:gradFill rotWithShape="1">
                <a:gsLst>
                  <a:gs pos="0">
                    <a:schemeClr val="accent1">
                      <a:lumMod val="60000"/>
                      <a:tint val="96000"/>
                      <a:lumMod val="100000"/>
                    </a:schemeClr>
                  </a:gs>
                  <a:gs pos="78000">
                    <a:schemeClr val="accent1">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D-97E4-4853-BAB1-7AC6E7C1B968}"/>
              </c:ext>
            </c:extLst>
          </c:dPt>
          <c:dPt>
            <c:idx val="7"/>
            <c:bubble3D val="0"/>
            <c:spPr>
              <a:gradFill rotWithShape="1">
                <a:gsLst>
                  <a:gs pos="0">
                    <a:schemeClr val="accent2">
                      <a:lumMod val="60000"/>
                      <a:tint val="96000"/>
                      <a:lumMod val="100000"/>
                    </a:schemeClr>
                  </a:gs>
                  <a:gs pos="78000">
                    <a:schemeClr val="accent2">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F-97E4-4853-BAB1-7AC6E7C1B968}"/>
              </c:ext>
            </c:extLst>
          </c:dPt>
          <c:dPt>
            <c:idx val="8"/>
            <c:bubble3D val="0"/>
            <c:spPr>
              <a:gradFill rotWithShape="1">
                <a:gsLst>
                  <a:gs pos="0">
                    <a:schemeClr val="accent3">
                      <a:lumMod val="60000"/>
                      <a:tint val="96000"/>
                      <a:lumMod val="100000"/>
                    </a:schemeClr>
                  </a:gs>
                  <a:gs pos="78000">
                    <a:schemeClr val="accent3">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1-97E4-4853-BAB1-7AC6E7C1B968}"/>
              </c:ext>
            </c:extLst>
          </c:dPt>
          <c:dPt>
            <c:idx val="9"/>
            <c:bubble3D val="0"/>
            <c:explosion val="36"/>
            <c:spPr>
              <a:gradFill rotWithShape="1">
                <a:gsLst>
                  <a:gs pos="0">
                    <a:schemeClr val="accent4">
                      <a:lumMod val="60000"/>
                      <a:tint val="96000"/>
                      <a:lumMod val="100000"/>
                    </a:schemeClr>
                  </a:gs>
                  <a:gs pos="78000">
                    <a:schemeClr val="accent4">
                      <a:lumMod val="60000"/>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3-97E4-4853-BAB1-7AC6E7C1B968}"/>
              </c:ext>
            </c:extLst>
          </c:dPt>
          <c:cat>
            <c:strRef>
              <c:f>'Pivort_Table-Charts'!$A$4:$A$9</c:f>
              <c:strCache>
                <c:ptCount val="5"/>
                <c:pt idx="0">
                  <c:v>Headphones</c:v>
                </c:pt>
                <c:pt idx="1">
                  <c:v>Keyboard</c:v>
                </c:pt>
                <c:pt idx="2">
                  <c:v>Laptop</c:v>
                </c:pt>
                <c:pt idx="3">
                  <c:v>Monitor</c:v>
                </c:pt>
                <c:pt idx="4">
                  <c:v>Smartphone</c:v>
                </c:pt>
              </c:strCache>
            </c:strRef>
          </c:cat>
          <c:val>
            <c:numRef>
              <c:f>'Pivort_Table-Charts'!$B$4:$B$9</c:f>
              <c:numCache>
                <c:formatCode>General</c:formatCode>
                <c:ptCount val="5"/>
                <c:pt idx="0">
                  <c:v>7049.5299999999988</c:v>
                </c:pt>
                <c:pt idx="1">
                  <c:v>8009.109999999996</c:v>
                </c:pt>
                <c:pt idx="2">
                  <c:v>67499.249999999985</c:v>
                </c:pt>
                <c:pt idx="3">
                  <c:v>24249.150000000005</c:v>
                </c:pt>
                <c:pt idx="4">
                  <c:v>67199.040000000023</c:v>
                </c:pt>
              </c:numCache>
            </c:numRef>
          </c:val>
          <c:extLst>
            <c:ext xmlns:c16="http://schemas.microsoft.com/office/drawing/2014/chart" uri="{C3380CC4-5D6E-409C-BE32-E72D297353CC}">
              <c16:uniqueId val="{00000014-97E4-4853-BAB1-7AC6E7C1B96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1"/>
                </a:solidFill>
              </a:ln>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ln>
            <a:solidFill>
              <a:schemeClr val="accent1"/>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2</xdr:col>
      <xdr:colOff>106362</xdr:colOff>
      <xdr:row>0</xdr:row>
      <xdr:rowOff>79375</xdr:rowOff>
    </xdr:from>
    <xdr:to>
      <xdr:col>7</xdr:col>
      <xdr:colOff>315912</xdr:colOff>
      <xdr:row>13</xdr:row>
      <xdr:rowOff>130175</xdr:rowOff>
    </xdr:to>
    <xdr:graphicFrame macro="">
      <xdr:nvGraphicFramePr>
        <xdr:cNvPr id="2" name="Chart 1">
          <a:extLst>
            <a:ext uri="{FF2B5EF4-FFF2-40B4-BE49-F238E27FC236}">
              <a16:creationId xmlns:a16="http://schemas.microsoft.com/office/drawing/2014/main" id="{0AE134CC-5CF1-E265-37F3-C5E7BD50F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395288</xdr:colOff>
      <xdr:row>0</xdr:row>
      <xdr:rowOff>31750</xdr:rowOff>
    </xdr:from>
    <xdr:to>
      <xdr:col>12</xdr:col>
      <xdr:colOff>593725</xdr:colOff>
      <xdr:row>14</xdr:row>
      <xdr:rowOff>6350</xdr:rowOff>
    </xdr:to>
    <xdr:graphicFrame macro="">
      <xdr:nvGraphicFramePr>
        <xdr:cNvPr id="3" name="Chart 2">
          <a:extLst>
            <a:ext uri="{FF2B5EF4-FFF2-40B4-BE49-F238E27FC236}">
              <a16:creationId xmlns:a16="http://schemas.microsoft.com/office/drawing/2014/main" id="{AC87A4FE-E4FE-6076-C77F-0D6A84EF5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79376</xdr:colOff>
      <xdr:row>0</xdr:row>
      <xdr:rowOff>4764</xdr:rowOff>
    </xdr:from>
    <xdr:to>
      <xdr:col>18</xdr:col>
      <xdr:colOff>119063</xdr:colOff>
      <xdr:row>13</xdr:row>
      <xdr:rowOff>150812</xdr:rowOff>
    </xdr:to>
    <xdr:graphicFrame macro="">
      <xdr:nvGraphicFramePr>
        <xdr:cNvPr id="4" name="Chart 3">
          <a:extLst>
            <a:ext uri="{FF2B5EF4-FFF2-40B4-BE49-F238E27FC236}">
              <a16:creationId xmlns:a16="http://schemas.microsoft.com/office/drawing/2014/main" id="{C8880931-1DDA-D3DA-E8CC-EEEC736550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344487</xdr:colOff>
      <xdr:row>15</xdr:row>
      <xdr:rowOff>25399</xdr:rowOff>
    </xdr:from>
    <xdr:to>
      <xdr:col>1</xdr:col>
      <xdr:colOff>1271984</xdr:colOff>
      <xdr:row>21</xdr:row>
      <xdr:rowOff>126999</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51984926-2803-5A74-27AD-D1292E64115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44487" y="2763837"/>
              <a:ext cx="1893888" cy="119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119063</xdr:colOff>
      <xdr:row>15</xdr:row>
      <xdr:rowOff>33338</xdr:rowOff>
    </xdr:from>
    <xdr:to>
      <xdr:col>5</xdr:col>
      <xdr:colOff>141289</xdr:colOff>
      <xdr:row>24</xdr:row>
      <xdr:rowOff>127002</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3C425571-AE88-CF60-C879-5C79A0799F4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468563" y="2771776"/>
              <a:ext cx="1855788" cy="17367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19049</xdr:colOff>
      <xdr:row>15</xdr:row>
      <xdr:rowOff>12699</xdr:rowOff>
    </xdr:from>
    <xdr:to>
      <xdr:col>11</xdr:col>
      <xdr:colOff>269877</xdr:colOff>
      <xdr:row>22</xdr:row>
      <xdr:rowOff>95250</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85124A58-4B38-D6AB-765D-C6EDFCA75B8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813299" y="2751137"/>
              <a:ext cx="3306764" cy="13604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97233</xdr:colOff>
      <xdr:row>3</xdr:row>
      <xdr:rowOff>115094</xdr:rowOff>
    </xdr:from>
    <xdr:to>
      <xdr:col>11</xdr:col>
      <xdr:colOff>33734</xdr:colOff>
      <xdr:row>5</xdr:row>
      <xdr:rowOff>31749</xdr:rowOff>
    </xdr:to>
    <xdr:sp macro="" textlink="">
      <xdr:nvSpPr>
        <xdr:cNvPr id="9" name="Rectangle: Diagonal Corners Rounded 8">
          <a:extLst>
            <a:ext uri="{FF2B5EF4-FFF2-40B4-BE49-F238E27FC236}">
              <a16:creationId xmlns:a16="http://schemas.microsoft.com/office/drawing/2014/main" id="{9AB965A0-224B-43F8-EEBD-D008893F821D}"/>
            </a:ext>
          </a:extLst>
        </xdr:cNvPr>
        <xdr:cNvSpPr/>
      </xdr:nvSpPr>
      <xdr:spPr>
        <a:xfrm>
          <a:off x="4282281" y="656829"/>
          <a:ext cx="3180953" cy="345280"/>
        </a:xfrm>
        <a:prstGeom prst="round2Diag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algn="l"/>
          <a:endParaRPr lang="en-US" sz="1100">
            <a:solidFill>
              <a:schemeClr val="tx1"/>
            </a:solidFill>
            <a:latin typeface="Algerian" panose="04020705040A02060702" pitchFamily="82" charset="0"/>
          </a:endParaRPr>
        </a:p>
      </xdr:txBody>
    </xdr:sp>
    <xdr:clientData/>
  </xdr:twoCellAnchor>
  <xdr:oneCellAnchor>
    <xdr:from>
      <xdr:col>7</xdr:col>
      <xdr:colOff>585391</xdr:colOff>
      <xdr:row>3</xdr:row>
      <xdr:rowOff>128984</xdr:rowOff>
    </xdr:from>
    <xdr:ext cx="1296900" cy="261938"/>
    <xdr:sp macro="" textlink="">
      <xdr:nvSpPr>
        <xdr:cNvPr id="10" name="TextBox 9">
          <a:extLst>
            <a:ext uri="{FF2B5EF4-FFF2-40B4-BE49-F238E27FC236}">
              <a16:creationId xmlns:a16="http://schemas.microsoft.com/office/drawing/2014/main" id="{A194A7BB-D205-FDC6-BA1F-60D081FE18A3}"/>
            </a:ext>
          </a:extLst>
        </xdr:cNvPr>
        <xdr:cNvSpPr txBox="1"/>
      </xdr:nvSpPr>
      <xdr:spPr>
        <a:xfrm>
          <a:off x="5419329" y="670719"/>
          <a:ext cx="1296900" cy="2619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solidFill>
                <a:schemeClr val="tx1"/>
              </a:solidFill>
              <a:latin typeface="Algerian" panose="04020705040A02060702" pitchFamily="82" charset="0"/>
            </a:rPr>
            <a:t>Bar - Chart!</a:t>
          </a:r>
        </a:p>
      </xdr:txBody>
    </xdr:sp>
    <xdr:clientData/>
  </xdr:oneCellAnchor>
  <xdr:twoCellAnchor>
    <xdr:from>
      <xdr:col>12</xdr:col>
      <xdr:colOff>301624</xdr:colOff>
      <xdr:row>3</xdr:row>
      <xdr:rowOff>119064</xdr:rowOff>
    </xdr:from>
    <xdr:to>
      <xdr:col>17</xdr:col>
      <xdr:colOff>111124</xdr:colOff>
      <xdr:row>5</xdr:row>
      <xdr:rowOff>19844</xdr:rowOff>
    </xdr:to>
    <xdr:sp macro="" textlink="">
      <xdr:nvSpPr>
        <xdr:cNvPr id="11" name="Rectangle: Diagonal Corners Rounded 10">
          <a:extLst>
            <a:ext uri="{FF2B5EF4-FFF2-40B4-BE49-F238E27FC236}">
              <a16:creationId xmlns:a16="http://schemas.microsoft.com/office/drawing/2014/main" id="{C3F5982B-F61A-5B72-8493-C66879BBF7F1}"/>
            </a:ext>
          </a:extLst>
        </xdr:cNvPr>
        <xdr:cNvSpPr/>
      </xdr:nvSpPr>
      <xdr:spPr>
        <a:xfrm>
          <a:off x="8380015" y="660799"/>
          <a:ext cx="3053953" cy="329405"/>
        </a:xfrm>
        <a:prstGeom prst="round2Diag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202405</xdr:colOff>
      <xdr:row>3</xdr:row>
      <xdr:rowOff>89296</xdr:rowOff>
    </xdr:from>
    <xdr:to>
      <xdr:col>23</xdr:col>
      <xdr:colOff>113110</xdr:colOff>
      <xdr:row>4</xdr:row>
      <xdr:rowOff>168672</xdr:rowOff>
    </xdr:to>
    <xdr:sp macro="" textlink="">
      <xdr:nvSpPr>
        <xdr:cNvPr id="12" name="Rectangle: Diagonal Corners Rounded 11">
          <a:extLst>
            <a:ext uri="{FF2B5EF4-FFF2-40B4-BE49-F238E27FC236}">
              <a16:creationId xmlns:a16="http://schemas.microsoft.com/office/drawing/2014/main" id="{B8074563-32F7-C555-115E-09BDD1154F9C}"/>
            </a:ext>
          </a:extLst>
        </xdr:cNvPr>
        <xdr:cNvSpPr/>
      </xdr:nvSpPr>
      <xdr:spPr>
        <a:xfrm>
          <a:off x="12174140" y="631031"/>
          <a:ext cx="3155158" cy="329407"/>
        </a:xfrm>
        <a:prstGeom prst="round2Diag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oneCellAnchor>
    <xdr:from>
      <xdr:col>13</xdr:col>
      <xdr:colOff>567531</xdr:colOff>
      <xdr:row>3</xdr:row>
      <xdr:rowOff>101202</xdr:rowOff>
    </xdr:from>
    <xdr:ext cx="1508125" cy="257971"/>
    <xdr:sp macro="" textlink="">
      <xdr:nvSpPr>
        <xdr:cNvPr id="13" name="TextBox 12">
          <a:extLst>
            <a:ext uri="{FF2B5EF4-FFF2-40B4-BE49-F238E27FC236}">
              <a16:creationId xmlns:a16="http://schemas.microsoft.com/office/drawing/2014/main" id="{A5ED1571-3DDE-4EA9-F4A1-DCCB2D44A7F6}"/>
            </a:ext>
          </a:extLst>
        </xdr:cNvPr>
        <xdr:cNvSpPr txBox="1"/>
      </xdr:nvSpPr>
      <xdr:spPr>
        <a:xfrm>
          <a:off x="9294812" y="642937"/>
          <a:ext cx="1508125" cy="257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tx1"/>
              </a:solidFill>
              <a:effectLst/>
              <a:latin typeface="Algerian" panose="04020705040A02060702" pitchFamily="82" charset="0"/>
              <a:ea typeface="+mn-ea"/>
              <a:cs typeface="+mn-cs"/>
            </a:rPr>
            <a:t>Line -</a:t>
          </a:r>
          <a:r>
            <a:rPr lang="en-US" sz="1100" b="1" baseline="0">
              <a:solidFill>
                <a:schemeClr val="tx1"/>
              </a:solidFill>
              <a:effectLst/>
              <a:latin typeface="Algerian" panose="04020705040A02060702" pitchFamily="82" charset="0"/>
              <a:ea typeface="+mn-ea"/>
              <a:cs typeface="+mn-cs"/>
            </a:rPr>
            <a:t> ChaRT!</a:t>
          </a:r>
          <a:endParaRPr lang="en-US" b="1">
            <a:solidFill>
              <a:schemeClr val="tx1"/>
            </a:solidFill>
            <a:effectLst/>
            <a:latin typeface="Algerian" panose="04020705040A02060702" pitchFamily="82" charset="0"/>
          </a:endParaRPr>
        </a:p>
      </xdr:txBody>
    </xdr:sp>
    <xdr:clientData/>
  </xdr:oneCellAnchor>
  <xdr:oneCellAnchor>
    <xdr:from>
      <xdr:col>19</xdr:col>
      <xdr:colOff>627064</xdr:colOff>
      <xdr:row>3</xdr:row>
      <xdr:rowOff>85329</xdr:rowOff>
    </xdr:from>
    <xdr:ext cx="1682748" cy="381000"/>
    <xdr:sp macro="" textlink="">
      <xdr:nvSpPr>
        <xdr:cNvPr id="15" name="TextBox 14">
          <a:extLst>
            <a:ext uri="{FF2B5EF4-FFF2-40B4-BE49-F238E27FC236}">
              <a16:creationId xmlns:a16="http://schemas.microsoft.com/office/drawing/2014/main" id="{0AE2066A-8BA5-E131-459F-AD53661A34BD}"/>
            </a:ext>
          </a:extLst>
        </xdr:cNvPr>
        <xdr:cNvSpPr txBox="1"/>
      </xdr:nvSpPr>
      <xdr:spPr>
        <a:xfrm>
          <a:off x="13247689" y="627064"/>
          <a:ext cx="1682748"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a:latin typeface="Algerian" panose="04020705040A02060702" pitchFamily="82" charset="0"/>
            </a:rPr>
            <a:t>Pie - Chart!</a:t>
          </a:r>
        </a:p>
      </xdr:txBody>
    </xdr:sp>
    <xdr:clientData/>
  </xdr:oneCellAnchor>
  <xdr:twoCellAnchor editAs="oneCell">
    <xdr:from>
      <xdr:col>6</xdr:col>
      <xdr:colOff>140888</xdr:colOff>
      <xdr:row>3</xdr:row>
      <xdr:rowOff>144860</xdr:rowOff>
    </xdr:from>
    <xdr:to>
      <xdr:col>7</xdr:col>
      <xdr:colOff>259953</xdr:colOff>
      <xdr:row>5</xdr:row>
      <xdr:rowOff>13892</xdr:rowOff>
    </xdr:to>
    <xdr:pic>
      <xdr:nvPicPr>
        <xdr:cNvPr id="17" name="Graphic 16" descr="Bar chart with solid fill">
          <a:extLst>
            <a:ext uri="{FF2B5EF4-FFF2-40B4-BE49-F238E27FC236}">
              <a16:creationId xmlns:a16="http://schemas.microsoft.com/office/drawing/2014/main" id="{22E81FAB-4596-286A-59BB-B9388ED00C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325936" y="686595"/>
          <a:ext cx="767955" cy="297657"/>
        </a:xfrm>
        <a:prstGeom prst="rect">
          <a:avLst/>
        </a:prstGeom>
      </xdr:spPr>
    </xdr:pic>
    <xdr:clientData/>
  </xdr:twoCellAnchor>
  <xdr:twoCellAnchor editAs="oneCell">
    <xdr:from>
      <xdr:col>12</xdr:col>
      <xdr:colOff>343297</xdr:colOff>
      <xdr:row>3</xdr:row>
      <xdr:rowOff>119062</xdr:rowOff>
    </xdr:from>
    <xdr:to>
      <xdr:col>13</xdr:col>
      <xdr:colOff>359173</xdr:colOff>
      <xdr:row>4</xdr:row>
      <xdr:rowOff>174625</xdr:rowOff>
    </xdr:to>
    <xdr:pic>
      <xdr:nvPicPr>
        <xdr:cNvPr id="19" name="Graphic 18" descr="Upward trend with solid fill">
          <a:extLst>
            <a:ext uri="{FF2B5EF4-FFF2-40B4-BE49-F238E27FC236}">
              <a16:creationId xmlns:a16="http://schemas.microsoft.com/office/drawing/2014/main" id="{B0D284B0-3902-1D6C-ED69-6B1AA3F19F0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421688" y="660797"/>
          <a:ext cx="664766" cy="305594"/>
        </a:xfrm>
        <a:prstGeom prst="rect">
          <a:avLst/>
        </a:prstGeom>
      </xdr:spPr>
    </xdr:pic>
    <xdr:clientData/>
  </xdr:twoCellAnchor>
  <xdr:twoCellAnchor editAs="oneCell">
    <xdr:from>
      <xdr:col>18</xdr:col>
      <xdr:colOff>333375</xdr:colOff>
      <xdr:row>3</xdr:row>
      <xdr:rowOff>99219</xdr:rowOff>
    </xdr:from>
    <xdr:to>
      <xdr:col>19</xdr:col>
      <xdr:colOff>420688</xdr:colOff>
      <xdr:row>4</xdr:row>
      <xdr:rowOff>138907</xdr:rowOff>
    </xdr:to>
    <xdr:pic>
      <xdr:nvPicPr>
        <xdr:cNvPr id="21" name="Graphic 20" descr="Coins with solid fill">
          <a:extLst>
            <a:ext uri="{FF2B5EF4-FFF2-40B4-BE49-F238E27FC236}">
              <a16:creationId xmlns:a16="http://schemas.microsoft.com/office/drawing/2014/main" id="{ACA17C20-BCF0-3AFA-67E3-5BF9789F3C4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305110" y="640954"/>
          <a:ext cx="736203" cy="289719"/>
        </a:xfrm>
        <a:prstGeom prst="rect">
          <a:avLst/>
        </a:prstGeom>
      </xdr:spPr>
    </xdr:pic>
    <xdr:clientData/>
  </xdr:twoCellAnchor>
  <xdr:twoCellAnchor editAs="oneCell">
    <xdr:from>
      <xdr:col>13</xdr:col>
      <xdr:colOff>127000</xdr:colOff>
      <xdr:row>0</xdr:row>
      <xdr:rowOff>55563</xdr:rowOff>
    </xdr:from>
    <xdr:to>
      <xdr:col>14</xdr:col>
      <xdr:colOff>430212</xdr:colOff>
      <xdr:row>1</xdr:row>
      <xdr:rowOff>166687</xdr:rowOff>
    </xdr:to>
    <xdr:pic>
      <xdr:nvPicPr>
        <xdr:cNvPr id="23" name="Graphic 22" descr="Chevron arrows with solid fill">
          <a:extLst>
            <a:ext uri="{FF2B5EF4-FFF2-40B4-BE49-F238E27FC236}">
              <a16:creationId xmlns:a16="http://schemas.microsoft.com/office/drawing/2014/main" id="{6B3505CE-8D10-55EB-CB7E-1750DA9294A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382000" y="55563"/>
          <a:ext cx="914400" cy="293687"/>
        </a:xfrm>
        <a:prstGeom prst="rect">
          <a:avLst/>
        </a:prstGeom>
      </xdr:spPr>
    </xdr:pic>
    <xdr:clientData/>
  </xdr:twoCellAnchor>
  <xdr:twoCellAnchor editAs="oneCell">
    <xdr:from>
      <xdr:col>7</xdr:col>
      <xdr:colOff>254000</xdr:colOff>
      <xdr:row>0</xdr:row>
      <xdr:rowOff>79374</xdr:rowOff>
    </xdr:from>
    <xdr:to>
      <xdr:col>9</xdr:col>
      <xdr:colOff>190500</xdr:colOff>
      <xdr:row>1</xdr:row>
      <xdr:rowOff>158750</xdr:rowOff>
    </xdr:to>
    <xdr:pic>
      <xdr:nvPicPr>
        <xdr:cNvPr id="25" name="Graphic 24" descr="Chevron arrows with solid fill">
          <a:extLst>
            <a:ext uri="{FF2B5EF4-FFF2-40B4-BE49-F238E27FC236}">
              <a16:creationId xmlns:a16="http://schemas.microsoft.com/office/drawing/2014/main" id="{62DDC07C-2E81-EF45-5DC3-1A543585AAA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841875" y="79374"/>
          <a:ext cx="1158875" cy="261939"/>
        </a:xfrm>
        <a:prstGeom prst="rect">
          <a:avLst/>
        </a:prstGeom>
      </xdr:spPr>
    </xdr:pic>
    <xdr:clientData/>
  </xdr:twoCellAnchor>
  <xdr:twoCellAnchor>
    <xdr:from>
      <xdr:col>0</xdr:col>
      <xdr:colOff>202406</xdr:colOff>
      <xdr:row>9</xdr:row>
      <xdr:rowOff>65484</xdr:rowOff>
    </xdr:from>
    <xdr:to>
      <xdr:col>2</xdr:col>
      <xdr:colOff>452437</xdr:colOff>
      <xdr:row>19</xdr:row>
      <xdr:rowOff>160733</xdr:rowOff>
    </xdr:to>
    <xdr:sp macro="" textlink="">
      <xdr:nvSpPr>
        <xdr:cNvPr id="7" name="Rectangle 6">
          <a:extLst>
            <a:ext uri="{FF2B5EF4-FFF2-40B4-BE49-F238E27FC236}">
              <a16:creationId xmlns:a16="http://schemas.microsoft.com/office/drawing/2014/main" id="{CF89CACB-1B2E-B30B-376E-E956C7B9A89F}"/>
            </a:ext>
          </a:extLst>
        </xdr:cNvPr>
        <xdr:cNvSpPr/>
      </xdr:nvSpPr>
      <xdr:spPr>
        <a:xfrm>
          <a:off x="202406" y="1750219"/>
          <a:ext cx="1839516" cy="1881187"/>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232172</xdr:colOff>
      <xdr:row>21</xdr:row>
      <xdr:rowOff>89297</xdr:rowOff>
    </xdr:from>
    <xdr:to>
      <xdr:col>5</xdr:col>
      <xdr:colOff>381000</xdr:colOff>
      <xdr:row>29</xdr:row>
      <xdr:rowOff>166687</xdr:rowOff>
    </xdr:to>
    <xdr:sp macro="" textlink="">
      <xdr:nvSpPr>
        <xdr:cNvPr id="14" name="Rectangle 13">
          <a:extLst>
            <a:ext uri="{FF2B5EF4-FFF2-40B4-BE49-F238E27FC236}">
              <a16:creationId xmlns:a16="http://schemas.microsoft.com/office/drawing/2014/main" id="{0CD222E1-1644-A954-B1D1-4427249BE791}"/>
            </a:ext>
          </a:extLst>
        </xdr:cNvPr>
        <xdr:cNvSpPr/>
      </xdr:nvSpPr>
      <xdr:spPr>
        <a:xfrm>
          <a:off x="232172" y="3917157"/>
          <a:ext cx="3684984" cy="150614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17859</xdr:colOff>
      <xdr:row>8</xdr:row>
      <xdr:rowOff>160734</xdr:rowOff>
    </xdr:from>
    <xdr:to>
      <xdr:col>5</xdr:col>
      <xdr:colOff>339328</xdr:colOff>
      <xdr:row>20</xdr:row>
      <xdr:rowOff>47625</xdr:rowOff>
    </xdr:to>
    <xdr:sp macro="" textlink="">
      <xdr:nvSpPr>
        <xdr:cNvPr id="16" name="Rectangle 15">
          <a:extLst>
            <a:ext uri="{FF2B5EF4-FFF2-40B4-BE49-F238E27FC236}">
              <a16:creationId xmlns:a16="http://schemas.microsoft.com/office/drawing/2014/main" id="{4DD5E474-F9EE-5C68-EF0B-52BCBB4F1495}"/>
            </a:ext>
          </a:extLst>
        </xdr:cNvPr>
        <xdr:cNvSpPr/>
      </xdr:nvSpPr>
      <xdr:spPr>
        <a:xfrm>
          <a:off x="2256234" y="1666875"/>
          <a:ext cx="1619250" cy="2030016"/>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494110</xdr:colOff>
      <xdr:row>8</xdr:row>
      <xdr:rowOff>166687</xdr:rowOff>
    </xdr:from>
    <xdr:to>
      <xdr:col>11</xdr:col>
      <xdr:colOff>303609</xdr:colOff>
      <xdr:row>27</xdr:row>
      <xdr:rowOff>172639</xdr:rowOff>
    </xdr:to>
    <xdr:sp macro="" textlink="">
      <xdr:nvSpPr>
        <xdr:cNvPr id="18" name="Rectangle 17">
          <a:extLst>
            <a:ext uri="{FF2B5EF4-FFF2-40B4-BE49-F238E27FC236}">
              <a16:creationId xmlns:a16="http://schemas.microsoft.com/office/drawing/2014/main" id="{108B905D-669C-8DC4-4A49-7E02DAF67BC9}"/>
            </a:ext>
          </a:extLst>
        </xdr:cNvPr>
        <xdr:cNvSpPr/>
      </xdr:nvSpPr>
      <xdr:spPr>
        <a:xfrm>
          <a:off x="4030266" y="1672828"/>
          <a:ext cx="3702843" cy="339923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95250</xdr:colOff>
      <xdr:row>8</xdr:row>
      <xdr:rowOff>125016</xdr:rowOff>
    </xdr:from>
    <xdr:to>
      <xdr:col>17</xdr:col>
      <xdr:colOff>351234</xdr:colOff>
      <xdr:row>27</xdr:row>
      <xdr:rowOff>172640</xdr:rowOff>
    </xdr:to>
    <xdr:sp macro="" textlink="">
      <xdr:nvSpPr>
        <xdr:cNvPr id="20" name="Rectangle 19">
          <a:extLst>
            <a:ext uri="{FF2B5EF4-FFF2-40B4-BE49-F238E27FC236}">
              <a16:creationId xmlns:a16="http://schemas.microsoft.com/office/drawing/2014/main" id="{3B46CCAB-85BE-053F-A83C-6256A54FFD91}"/>
            </a:ext>
          </a:extLst>
        </xdr:cNvPr>
        <xdr:cNvSpPr/>
      </xdr:nvSpPr>
      <xdr:spPr>
        <a:xfrm>
          <a:off x="8173641" y="1631157"/>
          <a:ext cx="3500437" cy="344090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89296</xdr:colOff>
      <xdr:row>8</xdr:row>
      <xdr:rowOff>95250</xdr:rowOff>
    </xdr:from>
    <xdr:to>
      <xdr:col>23</xdr:col>
      <xdr:colOff>386953</xdr:colOff>
      <xdr:row>27</xdr:row>
      <xdr:rowOff>160733</xdr:rowOff>
    </xdr:to>
    <xdr:sp macro="" textlink="">
      <xdr:nvSpPr>
        <xdr:cNvPr id="22" name="Rectangle 21">
          <a:extLst>
            <a:ext uri="{FF2B5EF4-FFF2-40B4-BE49-F238E27FC236}">
              <a16:creationId xmlns:a16="http://schemas.microsoft.com/office/drawing/2014/main" id="{A2CEB576-E788-75F8-F0EF-53CEE1B39B11}"/>
            </a:ext>
          </a:extLst>
        </xdr:cNvPr>
        <xdr:cNvSpPr/>
      </xdr:nvSpPr>
      <xdr:spPr>
        <a:xfrm>
          <a:off x="12061031" y="1601391"/>
          <a:ext cx="3542110" cy="345876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279798</xdr:colOff>
      <xdr:row>9</xdr:row>
      <xdr:rowOff>148828</xdr:rowOff>
    </xdr:from>
    <xdr:to>
      <xdr:col>2</xdr:col>
      <xdr:colOff>345281</xdr:colOff>
      <xdr:row>19</xdr:row>
      <xdr:rowOff>71436</xdr:rowOff>
    </xdr:to>
    <mc:AlternateContent xmlns:mc="http://schemas.openxmlformats.org/markup-compatibility/2006">
      <mc:Choice xmlns:a14="http://schemas.microsoft.com/office/drawing/2010/main" Requires="a14">
        <xdr:graphicFrame macro="">
          <xdr:nvGraphicFramePr>
            <xdr:cNvPr id="26" name="Category 1">
              <a:extLst>
                <a:ext uri="{FF2B5EF4-FFF2-40B4-BE49-F238E27FC236}">
                  <a16:creationId xmlns:a16="http://schemas.microsoft.com/office/drawing/2014/main" id="{343B09A5-3614-4D17-8608-CDD9DA9C307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279798" y="1833563"/>
              <a:ext cx="1654968" cy="17085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113110</xdr:colOff>
      <xdr:row>9</xdr:row>
      <xdr:rowOff>83343</xdr:rowOff>
    </xdr:from>
    <xdr:to>
      <xdr:col>5</xdr:col>
      <xdr:colOff>261939</xdr:colOff>
      <xdr:row>19</xdr:row>
      <xdr:rowOff>136921</xdr:rowOff>
    </xdr:to>
    <mc:AlternateContent xmlns:mc="http://schemas.openxmlformats.org/markup-compatibility/2006">
      <mc:Choice xmlns:a14="http://schemas.microsoft.com/office/drawing/2010/main" Requires="a14">
        <xdr:graphicFrame macro="">
          <xdr:nvGraphicFramePr>
            <xdr:cNvPr id="28" name="Region 1">
              <a:extLst>
                <a:ext uri="{FF2B5EF4-FFF2-40B4-BE49-F238E27FC236}">
                  <a16:creationId xmlns:a16="http://schemas.microsoft.com/office/drawing/2014/main" id="{5EDD55CE-228D-412B-B599-006EAA55818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351485" y="1768078"/>
              <a:ext cx="1446610" cy="1839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303609</xdr:colOff>
      <xdr:row>21</xdr:row>
      <xdr:rowOff>154781</xdr:rowOff>
    </xdr:from>
    <xdr:to>
      <xdr:col>5</xdr:col>
      <xdr:colOff>291703</xdr:colOff>
      <xdr:row>29</xdr:row>
      <xdr:rowOff>58739</xdr:rowOff>
    </xdr:to>
    <mc:AlternateContent xmlns:mc="http://schemas.openxmlformats.org/markup-compatibility/2006">
      <mc:Choice xmlns:tsle="http://schemas.microsoft.com/office/drawing/2012/timeslicer" Requires="tsle">
        <xdr:graphicFrame macro="">
          <xdr:nvGraphicFramePr>
            <xdr:cNvPr id="30" name="Date 1">
              <a:extLst>
                <a:ext uri="{FF2B5EF4-FFF2-40B4-BE49-F238E27FC236}">
                  <a16:creationId xmlns:a16="http://schemas.microsoft.com/office/drawing/2014/main" id="{E7936F06-6932-42EF-A22B-3C60BCF0A60F}"/>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303609" y="3982641"/>
              <a:ext cx="3524250" cy="133270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5</xdr:col>
      <xdr:colOff>565546</xdr:colOff>
      <xdr:row>9</xdr:row>
      <xdr:rowOff>83343</xdr:rowOff>
    </xdr:from>
    <xdr:to>
      <xdr:col>11</xdr:col>
      <xdr:colOff>220265</xdr:colOff>
      <xdr:row>27</xdr:row>
      <xdr:rowOff>59530</xdr:rowOff>
    </xdr:to>
    <xdr:graphicFrame macro="">
      <xdr:nvGraphicFramePr>
        <xdr:cNvPr id="32" name="Chart 31">
          <a:extLst>
            <a:ext uri="{FF2B5EF4-FFF2-40B4-BE49-F238E27FC236}">
              <a16:creationId xmlns:a16="http://schemas.microsoft.com/office/drawing/2014/main" id="{DAE4459C-3B7F-41F1-B3AE-F4A7FC4185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214311</xdr:colOff>
      <xdr:row>9</xdr:row>
      <xdr:rowOff>41672</xdr:rowOff>
    </xdr:from>
    <xdr:to>
      <xdr:col>17</xdr:col>
      <xdr:colOff>244077</xdr:colOff>
      <xdr:row>27</xdr:row>
      <xdr:rowOff>65484</xdr:rowOff>
    </xdr:to>
    <xdr:graphicFrame macro="">
      <xdr:nvGraphicFramePr>
        <xdr:cNvPr id="34" name="Chart 33">
          <a:extLst>
            <a:ext uri="{FF2B5EF4-FFF2-40B4-BE49-F238E27FC236}">
              <a16:creationId xmlns:a16="http://schemas.microsoft.com/office/drawing/2014/main" id="{90866951-F015-4240-A157-7AD48CFB43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202405</xdr:colOff>
      <xdr:row>9</xdr:row>
      <xdr:rowOff>17859</xdr:rowOff>
    </xdr:from>
    <xdr:to>
      <xdr:col>23</xdr:col>
      <xdr:colOff>315515</xdr:colOff>
      <xdr:row>27</xdr:row>
      <xdr:rowOff>29764</xdr:rowOff>
    </xdr:to>
    <xdr:graphicFrame macro="">
      <xdr:nvGraphicFramePr>
        <xdr:cNvPr id="36" name="Chart 35">
          <a:extLst>
            <a:ext uri="{FF2B5EF4-FFF2-40B4-BE49-F238E27FC236}">
              <a16:creationId xmlns:a16="http://schemas.microsoft.com/office/drawing/2014/main" id="{A1C269AE-4DDD-4935-8A99-10671040A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eet" refreshedDate="46036.517066782406" createdVersion="8" refreshedVersion="8" minRefreshableVersion="3" recordCount="250" xr:uid="{1D013F46-1ACD-46BE-A70A-3A3069C6778E}">
  <cacheSource type="worksheet">
    <worksheetSource name="SalesData"/>
  </cacheSource>
  <cacheFields count="19">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300"/>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acheField>
    <cacheField name="Customer_Since" numFmtId="16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 name="Today" numFmtId="14">
      <sharedItems containsSemiMixedTypes="0" containsNonDate="0" containsDate="1" containsString="0" minDate="2026-01-14T00:00:00" maxDate="2026-01-15T00:00:00"/>
    </cacheField>
    <cacheField name="Now" numFmtId="22">
      <sharedItems containsSemiMixedTypes="0" containsNonDate="0" containsDate="1" containsString="0" minDate="2026-01-14T12:18:31" maxDate="2026-01-14T12:18:31"/>
    </cacheField>
    <cacheField name="DateDIF" numFmtId="0">
      <sharedItems containsSemiMixedTypes="0" containsString="0" containsNumber="1" containsInteger="1" minValue="1" maxValue="42"/>
    </cacheField>
    <cacheField name="Eomonth" numFmtId="0">
      <sharedItems containsSemiMixedTypes="0" containsString="0" containsNumber="1" containsInteger="1" minValue="28" maxValue="31"/>
    </cacheField>
    <cacheField name="Customer_value" numFmtId="0">
      <sharedItems/>
    </cacheField>
  </cacheFields>
  <extLst>
    <ext xmlns:x14="http://schemas.microsoft.com/office/spreadsheetml/2009/9/main" uri="{725AE2AE-9491-48be-B2B4-4EB974FC3084}">
      <x14:pivotCacheDefinition pivotCacheId="20227880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x v="0"/>
    <n v="300"/>
    <n v="249.99"/>
    <s v="Cash"/>
    <x v="0"/>
    <s v="Basic"/>
    <d v="2021-08-17T00:00:00"/>
    <n v="3000"/>
    <d v="2026-01-14T00:00:00"/>
    <d v="2026-01-14T12:18:31"/>
    <n v="31"/>
    <n v="30"/>
    <s v="high-value"/>
  </r>
  <r>
    <s v="TRX0023"/>
    <x v="1"/>
    <s v="CUST013"/>
    <s v="Joseph Jackson"/>
    <s v="P009"/>
    <x v="0"/>
    <x v="0"/>
    <n v="3"/>
    <n v="249.99"/>
    <s v="Credit Card"/>
    <x v="0"/>
    <s v="Premium"/>
    <d v="2022-01-14T00:00:00"/>
    <n v="749.97"/>
    <d v="2026-01-14T00:00:00"/>
    <d v="2026-01-14T12:18:31"/>
    <n v="27"/>
    <n v="30"/>
    <s v="normal"/>
  </r>
  <r>
    <s v="TRX0139"/>
    <x v="2"/>
    <s v="CUST021"/>
    <s v="Kevin Scott"/>
    <s v="P005"/>
    <x v="1"/>
    <x v="1"/>
    <n v="3"/>
    <n v="59.99"/>
    <s v="PayPal"/>
    <x v="1"/>
    <s v="Standard"/>
    <d v="2023-12-02T00:00:00"/>
    <n v="179.97"/>
    <d v="2026-01-14T00:00:00"/>
    <d v="2026-01-14T12:18:31"/>
    <n v="4"/>
    <n v="30"/>
    <s v="normal"/>
  </r>
  <r>
    <s v="TRX0043"/>
    <x v="3"/>
    <s v="CUST046"/>
    <s v="Kathleen Bennett"/>
    <s v="P005"/>
    <x v="1"/>
    <x v="1"/>
    <n v="3"/>
    <n v="59.99"/>
    <s v="Cash"/>
    <x v="2"/>
    <s v="Premium"/>
    <d v="2023-07-07T00:00:00"/>
    <n v="179.97"/>
    <d v="2026-01-14T00:00:00"/>
    <d v="2026-01-14T12:18:31"/>
    <n v="9"/>
    <n v="30"/>
    <s v="normal"/>
  </r>
  <r>
    <s v="TRX0212"/>
    <x v="3"/>
    <s v="CUST003"/>
    <s v="Michael Brown"/>
    <s v="P008"/>
    <x v="2"/>
    <x v="2"/>
    <n v="5"/>
    <n v="149.99"/>
    <s v="Credit Card"/>
    <x v="2"/>
    <s v="Premium"/>
    <d v="2024-01-04T00:00:00"/>
    <n v="749.95"/>
    <d v="2026-01-14T00:00:00"/>
    <d v="2026-01-14T12:18:31"/>
    <n v="3"/>
    <n v="30"/>
    <s v="normal"/>
  </r>
  <r>
    <s v="TRX0092"/>
    <x v="4"/>
    <s v="CUST024"/>
    <s v="Dorothy Nelson"/>
    <s v="P005"/>
    <x v="1"/>
    <x v="1"/>
    <n v="2"/>
    <n v="59.99"/>
    <s v="Cash"/>
    <x v="3"/>
    <s v="Standard"/>
    <d v="2022-07-04T00:00:00"/>
    <n v="119.98"/>
    <d v="2026-01-14T00:00:00"/>
    <d v="2026-01-14T12:18:31"/>
    <n v="21"/>
    <n v="30"/>
    <s v="normal"/>
  </r>
  <r>
    <s v="TRX0193"/>
    <x v="4"/>
    <s v="CUST024"/>
    <s v="Dorothy Nelson"/>
    <s v="P003"/>
    <x v="3"/>
    <x v="0"/>
    <n v="5"/>
    <n v="149.99"/>
    <s v="Credit Card"/>
    <x v="0"/>
    <s v="Standard"/>
    <d v="2021-08-10T00:00:00"/>
    <n v="749.95"/>
    <d v="2026-01-14T00:00:00"/>
    <d v="2026-01-14T12:18:31"/>
    <n v="32"/>
    <n v="30"/>
    <s v="normal"/>
  </r>
  <r>
    <s v="TRX0240"/>
    <x v="4"/>
    <s v="CUST017"/>
    <s v="Charles Allen"/>
    <s v="P005"/>
    <x v="1"/>
    <x v="1"/>
    <n v="3"/>
    <n v="59.99"/>
    <s v="Debit Card"/>
    <x v="1"/>
    <s v="Basic"/>
    <d v="2023-03-22T00:00:00"/>
    <n v="179.97"/>
    <d v="2026-01-14T00:00:00"/>
    <d v="2026-01-14T12:18:31"/>
    <n v="12"/>
    <n v="30"/>
    <s v="normal"/>
  </r>
  <r>
    <s v="TRX0135"/>
    <x v="5"/>
    <s v="CUST009"/>
    <s v="Robert Thomas"/>
    <s v="P001"/>
    <x v="4"/>
    <x v="0"/>
    <n v="3"/>
    <n v="899.99"/>
    <s v="PayPal"/>
    <x v="4"/>
    <s v="Standard"/>
    <d v="2024-01-08T00:00:00"/>
    <n v="2699.97"/>
    <d v="2026-01-14T00:00:00"/>
    <d v="2026-01-14T12:18:31"/>
    <n v="3"/>
    <n v="30"/>
    <s v="high-value"/>
  </r>
  <r>
    <s v="TRX0185"/>
    <x v="6"/>
    <s v="CUST026"/>
    <s v="Karen Hill"/>
    <s v="P005"/>
    <x v="1"/>
    <x v="1"/>
    <n v="3"/>
    <n v="59.99"/>
    <s v="Cash"/>
    <x v="3"/>
    <s v="Premium"/>
    <d v="2023-10-08T00:00:00"/>
    <n v="179.97"/>
    <d v="2026-01-14T00:00:00"/>
    <d v="2026-01-14T12:18:31"/>
    <n v="6"/>
    <n v="30"/>
    <s v="normal"/>
  </r>
  <r>
    <s v="TRX0138"/>
    <x v="6"/>
    <s v="CUST022"/>
    <s v="Susan Green"/>
    <s v="P008"/>
    <x v="2"/>
    <x v="2"/>
    <n v="1"/>
    <n v="149.99"/>
    <s v="Credit Card"/>
    <x v="3"/>
    <s v="Standard"/>
    <d v="2023-06-26T00:00:00"/>
    <n v="149.99"/>
    <d v="2026-01-14T00:00:00"/>
    <d v="2026-01-14T12:18:31"/>
    <n v="10"/>
    <n v="30"/>
    <s v="normal"/>
  </r>
  <r>
    <s v="TRX0209"/>
    <x v="6"/>
    <s v="CUST046"/>
    <s v="Kathleen Bennett"/>
    <s v="P008"/>
    <x v="2"/>
    <x v="2"/>
    <n v="5"/>
    <n v="149.99"/>
    <s v="Debit Card"/>
    <x v="2"/>
    <s v="Basic"/>
    <d v="2022-09-26T00:00:00"/>
    <n v="749.95"/>
    <d v="2026-01-14T00:00:00"/>
    <d v="2026-01-14T12:18:31"/>
    <n v="19"/>
    <n v="30"/>
    <s v="normal"/>
  </r>
  <r>
    <s v="TRX0246"/>
    <x v="6"/>
    <s v="CUST041"/>
    <s v="Peter Richardson"/>
    <s v="P008"/>
    <x v="2"/>
    <x v="2"/>
    <n v="3"/>
    <n v="149.99"/>
    <s v="Cash"/>
    <x v="2"/>
    <s v="Premium"/>
    <d v="2022-09-02T00:00:00"/>
    <n v="449.97"/>
    <d v="2026-01-14T00:00:00"/>
    <d v="2026-01-14T12:18:31"/>
    <n v="19"/>
    <n v="30"/>
    <s v="normal"/>
  </r>
  <r>
    <s v="TRX0067"/>
    <x v="7"/>
    <s v="CUST043"/>
    <s v="Dennis Gray"/>
    <s v="P005"/>
    <x v="1"/>
    <x v="1"/>
    <n v="3"/>
    <n v="59.99"/>
    <s v="Credit Card"/>
    <x v="2"/>
    <s v="Standard"/>
    <d v="2024-02-29T00:00:00"/>
    <n v="179.97"/>
    <d v="2026-01-14T00:00:00"/>
    <d v="2026-01-14T12:18:31"/>
    <n v="1"/>
    <n v="30"/>
    <s v="normal"/>
  </r>
  <r>
    <s v="TRX0191"/>
    <x v="7"/>
    <s v="CUST038"/>
    <s v="Michelle Rogers"/>
    <s v="P002"/>
    <x v="5"/>
    <x v="0"/>
    <n v="3"/>
    <n v="699.99"/>
    <s v="Credit Card"/>
    <x v="3"/>
    <s v="Basic"/>
    <d v="2022-01-16T00:00:00"/>
    <n v="2099.9699999999998"/>
    <d v="2026-01-14T00:00:00"/>
    <d v="2026-01-14T12:18:31"/>
    <n v="27"/>
    <n v="30"/>
    <s v="high-value"/>
  </r>
  <r>
    <s v="TRX0230"/>
    <x v="7"/>
    <s v="CUST027"/>
    <s v="George Adams"/>
    <s v="P001"/>
    <x v="4"/>
    <x v="0"/>
    <n v="1"/>
    <n v="899.99"/>
    <s v="Debit Card"/>
    <x v="2"/>
    <s v="Standard"/>
    <d v="2022-12-25T00:00:00"/>
    <n v="899.99"/>
    <d v="2026-01-14T00:00:00"/>
    <d v="2026-01-14T12:18:31"/>
    <n v="16"/>
    <n v="30"/>
    <s v="normal"/>
  </r>
  <r>
    <s v="TRX0049"/>
    <x v="8"/>
    <s v="CUST025"/>
    <s v="Mark Carter"/>
    <s v="P008"/>
    <x v="2"/>
    <x v="2"/>
    <n v="4"/>
    <n v="149.99"/>
    <s v="Debit Card"/>
    <x v="2"/>
    <s v="Premium"/>
    <d v="2024-03-23T00:00:00"/>
    <n v="599.96"/>
    <d v="2026-01-14T00:00:00"/>
    <d v="2026-01-14T12:18:31"/>
    <n v="1"/>
    <n v="30"/>
    <s v="normal"/>
  </r>
  <r>
    <s v="TRX0134"/>
    <x v="8"/>
    <s v="CUST010"/>
    <s v="Maria Garcia"/>
    <s v="P002"/>
    <x v="5"/>
    <x v="0"/>
    <n v="2"/>
    <n v="699.99"/>
    <s v="Cash"/>
    <x v="2"/>
    <s v="Basic"/>
    <d v="2022-08-08T00:00:00"/>
    <n v="1399.98"/>
    <d v="2026-01-14T00:00:00"/>
    <d v="2026-01-14T12:18:31"/>
    <n v="20"/>
    <n v="30"/>
    <s v="normal"/>
  </r>
  <r>
    <s v="TRX0122"/>
    <x v="8"/>
    <s v="CUST025"/>
    <s v="Mark Carter"/>
    <s v="P001"/>
    <x v="4"/>
    <x v="0"/>
    <n v="4"/>
    <n v="899.99"/>
    <s v="Credit Card"/>
    <x v="3"/>
    <s v="Standard"/>
    <d v="2024-02-05T00:00:00"/>
    <n v="3599.96"/>
    <d v="2026-01-14T00:00:00"/>
    <d v="2026-01-14T12:18:31"/>
    <n v="2"/>
    <n v="30"/>
    <s v="high-value"/>
  </r>
  <r>
    <s v="TRX0222"/>
    <x v="8"/>
    <s v="CUST048"/>
    <s v="Virginia Sanders"/>
    <s v="P009"/>
    <x v="0"/>
    <x v="0"/>
    <n v="3"/>
    <n v="249.99"/>
    <s v="Credit Card"/>
    <x v="2"/>
    <s v="Premium"/>
    <d v="2023-10-25T00:00:00"/>
    <n v="749.97"/>
    <d v="2026-01-14T00:00:00"/>
    <d v="2026-01-14T12:18:31"/>
    <n v="6"/>
    <n v="30"/>
    <s v="normal"/>
  </r>
  <r>
    <s v="TRX0231"/>
    <x v="9"/>
    <s v="CUST018"/>
    <s v="Barbara Young"/>
    <s v="P002"/>
    <x v="5"/>
    <x v="0"/>
    <n v="5"/>
    <n v="699.99"/>
    <s v="Cash"/>
    <x v="3"/>
    <s v="Basic"/>
    <d v="2023-08-29T00:00:00"/>
    <n v="3499.95"/>
    <d v="2026-01-14T00:00:00"/>
    <d v="2026-01-14T12:18:31"/>
    <n v="8"/>
    <n v="30"/>
    <s v="high-value"/>
  </r>
  <r>
    <s v="TRX0239"/>
    <x v="10"/>
    <s v="CUST012"/>
    <s v="Patricia Moore"/>
    <s v="P002"/>
    <x v="5"/>
    <x v="0"/>
    <n v="4"/>
    <n v="699.99"/>
    <s v="Cash"/>
    <x v="4"/>
    <s v="Standard"/>
    <d v="2021-08-01T00:00:00"/>
    <n v="2799.96"/>
    <d v="2026-01-14T00:00:00"/>
    <d v="2026-01-14T12:18:31"/>
    <n v="33"/>
    <n v="31"/>
    <s v="high-value"/>
  </r>
  <r>
    <s v="TRX0204"/>
    <x v="11"/>
    <s v="CUST044"/>
    <s v="Cynthia Price"/>
    <s v="P009"/>
    <x v="0"/>
    <x v="0"/>
    <n v="4"/>
    <n v="249.99"/>
    <s v="PayPal"/>
    <x v="2"/>
    <s v="Standard"/>
    <d v="2021-09-29T00:00:00"/>
    <n v="999.96"/>
    <d v="2026-01-14T00:00:00"/>
    <d v="2026-01-14T12:18:31"/>
    <n v="31"/>
    <n v="31"/>
    <s v="normal"/>
  </r>
  <r>
    <s v="TRX0242"/>
    <x v="12"/>
    <s v="CUST025"/>
    <s v="Mark Carter"/>
    <s v="P007"/>
    <x v="6"/>
    <x v="2"/>
    <n v="4"/>
    <n v="299.99"/>
    <s v="Cash"/>
    <x v="3"/>
    <s v="Premium"/>
    <d v="2022-06-04T00:00:00"/>
    <n v="1199.96"/>
    <d v="2026-01-14T00:00:00"/>
    <d v="2026-01-14T12:18:31"/>
    <n v="23"/>
    <n v="31"/>
    <s v="normal"/>
  </r>
  <r>
    <s v="TRX0071"/>
    <x v="13"/>
    <s v="CUST036"/>
    <s v="Nancy Collins"/>
    <s v="P009"/>
    <x v="0"/>
    <x v="0"/>
    <n v="5"/>
    <n v="249.99"/>
    <s v="Credit Card"/>
    <x v="3"/>
    <s v="Standard"/>
    <d v="2021-11-25T00:00:00"/>
    <n v="1249.95"/>
    <d v="2026-01-14T00:00:00"/>
    <d v="2026-01-14T12:18:31"/>
    <n v="29"/>
    <n v="31"/>
    <s v="normal"/>
  </r>
  <r>
    <s v="TRX0040"/>
    <x v="14"/>
    <s v="CUST022"/>
    <s v="Susan Green"/>
    <s v="P007"/>
    <x v="6"/>
    <x v="2"/>
    <n v="5"/>
    <n v="299.99"/>
    <s v="PayPal"/>
    <x v="4"/>
    <s v="Basic"/>
    <d v="2023-08-30T00:00:00"/>
    <n v="1499.95"/>
    <d v="2026-01-14T00:00:00"/>
    <d v="2026-01-14T12:18:31"/>
    <n v="8"/>
    <n v="31"/>
    <s v="normal"/>
  </r>
  <r>
    <s v="TRX0235"/>
    <x v="14"/>
    <s v="CUST014"/>
    <s v="Linda Martin"/>
    <s v="P004"/>
    <x v="7"/>
    <x v="1"/>
    <n v="3"/>
    <n v="79.989999999999995"/>
    <s v="PayPal"/>
    <x v="4"/>
    <s v="Premium"/>
    <d v="2023-03-27T00:00:00"/>
    <n v="239.97"/>
    <d v="2026-01-14T00:00:00"/>
    <d v="2026-01-14T12:18:31"/>
    <n v="13"/>
    <n v="31"/>
    <s v="normal"/>
  </r>
  <r>
    <s v="TRX0004"/>
    <x v="14"/>
    <s v="CUST012"/>
    <s v="Patricia Moore"/>
    <s v="P010"/>
    <x v="8"/>
    <x v="0"/>
    <n v="5"/>
    <n v="89.99"/>
    <s v="Cash"/>
    <x v="2"/>
    <s v="Premium"/>
    <d v="2022-12-24T00:00:00"/>
    <n v="449.95"/>
    <d v="2026-01-14T00:00:00"/>
    <d v="2026-01-14T12:18:31"/>
    <n v="16"/>
    <n v="31"/>
    <s v="normal"/>
  </r>
  <r>
    <s v="TRX0063"/>
    <x v="15"/>
    <s v="CUST030"/>
    <s v="Helen Roberts"/>
    <s v="P005"/>
    <x v="1"/>
    <x v="1"/>
    <n v="2"/>
    <n v="59.99"/>
    <s v="Debit Card"/>
    <x v="0"/>
    <s v="Standard"/>
    <d v="2023-10-15T00:00:00"/>
    <n v="119.98"/>
    <d v="2026-01-14T00:00:00"/>
    <d v="2026-01-14T12:18:31"/>
    <n v="6"/>
    <n v="31"/>
    <s v="normal"/>
  </r>
  <r>
    <s v="TRX0241"/>
    <x v="16"/>
    <s v="CUST029"/>
    <s v="Edward Mitchell"/>
    <s v="P005"/>
    <x v="1"/>
    <x v="1"/>
    <n v="4"/>
    <n v="59.99"/>
    <s v="Debit Card"/>
    <x v="4"/>
    <s v="Standard"/>
    <d v="2022-11-02T00:00:00"/>
    <n v="239.96"/>
    <d v="2026-01-14T00:00:00"/>
    <d v="2026-01-14T12:18:31"/>
    <n v="18"/>
    <n v="31"/>
    <s v="normal"/>
  </r>
  <r>
    <s v="TRX0029"/>
    <x v="16"/>
    <s v="CUST017"/>
    <s v="Charles Allen"/>
    <s v="P006"/>
    <x v="9"/>
    <x v="2"/>
    <n v="5"/>
    <n v="199.99"/>
    <s v="Cash"/>
    <x v="1"/>
    <s v="Standard"/>
    <d v="2021-08-04T00:00:00"/>
    <n v="999.95"/>
    <d v="2026-01-14T00:00:00"/>
    <d v="2026-01-14T12:18:31"/>
    <n v="33"/>
    <n v="31"/>
    <s v="normal"/>
  </r>
  <r>
    <s v="TRX0194"/>
    <x v="17"/>
    <s v="CUST006"/>
    <s v="Lisa Anderson"/>
    <s v="P008"/>
    <x v="2"/>
    <x v="2"/>
    <n v="2"/>
    <n v="149.99"/>
    <s v="Credit Card"/>
    <x v="3"/>
    <s v="Basic"/>
    <d v="2022-09-19T00:00:00"/>
    <n v="299.98"/>
    <d v="2026-01-14T00:00:00"/>
    <d v="2026-01-14T12:18:31"/>
    <n v="19"/>
    <n v="31"/>
    <s v="normal"/>
  </r>
  <r>
    <s v="TRX0130"/>
    <x v="18"/>
    <s v="CUST002"/>
    <s v="Emma Wilson"/>
    <s v="P008"/>
    <x v="2"/>
    <x v="2"/>
    <n v="3"/>
    <n v="149.99"/>
    <s v="Credit Card"/>
    <x v="3"/>
    <s v="Premium"/>
    <d v="2023-05-22T00:00:00"/>
    <n v="449.97"/>
    <d v="2026-01-14T00:00:00"/>
    <d v="2026-01-14T12:18:31"/>
    <n v="11"/>
    <n v="31"/>
    <s v="normal"/>
  </r>
  <r>
    <s v="TRX0041"/>
    <x v="19"/>
    <s v="CUST021"/>
    <s v="Kevin Scott"/>
    <s v="P001"/>
    <x v="4"/>
    <x v="0"/>
    <n v="1"/>
    <n v="899.99"/>
    <s v="Credit Card"/>
    <x v="3"/>
    <s v="Premium"/>
    <d v="2022-01-17T00:00:00"/>
    <n v="899.99"/>
    <d v="2026-01-14T00:00:00"/>
    <d v="2026-01-14T12:18:31"/>
    <n v="28"/>
    <n v="31"/>
    <s v="normal"/>
  </r>
  <r>
    <s v="TRX0232"/>
    <x v="20"/>
    <s v="CUST012"/>
    <s v="Patricia Moore"/>
    <s v="P007"/>
    <x v="6"/>
    <x v="2"/>
    <n v="3"/>
    <n v="299.99"/>
    <s v="Credit Card"/>
    <x v="4"/>
    <s v="Basic"/>
    <d v="2022-09-20T00:00:00"/>
    <n v="899.97"/>
    <d v="2026-01-14T00:00:00"/>
    <d v="2026-01-14T12:18:31"/>
    <n v="20"/>
    <n v="31"/>
    <s v="normal"/>
  </r>
  <r>
    <s v="TRX0021"/>
    <x v="21"/>
    <s v="CUST006"/>
    <s v="Lisa Anderson"/>
    <s v="P004"/>
    <x v="7"/>
    <x v="1"/>
    <n v="3"/>
    <n v="79.989999999999995"/>
    <s v="Cash"/>
    <x v="1"/>
    <s v="Basic"/>
    <d v="2023-04-30T00:00:00"/>
    <n v="239.97"/>
    <d v="2026-01-14T00:00:00"/>
    <d v="2026-01-14T12:18:31"/>
    <n v="12"/>
    <n v="31"/>
    <s v="normal"/>
  </r>
  <r>
    <s v="TRX0245"/>
    <x v="22"/>
    <s v="CUST031"/>
    <s v="Steven Turner"/>
    <s v="P006"/>
    <x v="9"/>
    <x v="2"/>
    <n v="3"/>
    <n v="199.99"/>
    <s v="Credit Card"/>
    <x v="2"/>
    <s v="Premium"/>
    <d v="2024-01-01T00:00:00"/>
    <n v="599.97"/>
    <d v="2026-01-14T00:00:00"/>
    <d v="2026-01-14T12:18:31"/>
    <n v="4"/>
    <n v="31"/>
    <s v="normal"/>
  </r>
  <r>
    <s v="TRX0015"/>
    <x v="23"/>
    <s v="CUST008"/>
    <s v="Jennifer Taylor"/>
    <s v="P002"/>
    <x v="5"/>
    <x v="0"/>
    <n v="5"/>
    <n v="699.99"/>
    <s v="PayPal"/>
    <x v="3"/>
    <s v="Standard"/>
    <d v="2021-07-30T00:00:00"/>
    <n v="3499.95"/>
    <d v="2026-01-14T00:00:00"/>
    <d v="2026-01-14T12:18:31"/>
    <n v="33"/>
    <n v="31"/>
    <s v="high-value"/>
  </r>
  <r>
    <s v="TRX0202"/>
    <x v="24"/>
    <s v="CUST035"/>
    <s v="Harry Morgan"/>
    <s v="P010"/>
    <x v="8"/>
    <x v="0"/>
    <n v="3"/>
    <n v="89.99"/>
    <s v="PayPal"/>
    <x v="0"/>
    <s v="Premium"/>
    <d v="2023-07-13T00:00:00"/>
    <n v="269.97000000000003"/>
    <d v="2026-01-14T00:00:00"/>
    <d v="2026-01-14T12:18:31"/>
    <n v="10"/>
    <n v="31"/>
    <s v="normal"/>
  </r>
  <r>
    <s v="TRX0042"/>
    <x v="25"/>
    <s v="CUST019"/>
    <s v="Daniel King"/>
    <s v="P004"/>
    <x v="7"/>
    <x v="1"/>
    <n v="1"/>
    <n v="79.989999999999995"/>
    <s v="Cash"/>
    <x v="2"/>
    <s v="Standard"/>
    <d v="2022-12-22T00:00:00"/>
    <n v="79.989999999999995"/>
    <d v="2026-01-14T00:00:00"/>
    <d v="2026-01-14T12:18:31"/>
    <n v="17"/>
    <n v="31"/>
    <s v="normal"/>
  </r>
  <r>
    <s v="TRX0128"/>
    <x v="26"/>
    <s v="CUST040"/>
    <s v="Sharon Butler"/>
    <s v="P005"/>
    <x v="1"/>
    <x v="1"/>
    <n v="2"/>
    <n v="59.99"/>
    <s v="Cash"/>
    <x v="3"/>
    <s v="Basic"/>
    <d v="2024-04-08T00:00:00"/>
    <n v="119.98"/>
    <d v="2026-01-14T00:00:00"/>
    <d v="2026-01-14T12:18:31"/>
    <n v="1"/>
    <n v="30"/>
    <s v="normal"/>
  </r>
  <r>
    <s v="TRX0117"/>
    <x v="26"/>
    <s v="CUST017"/>
    <s v="Charles Allen"/>
    <s v="P010"/>
    <x v="8"/>
    <x v="0"/>
    <n v="1"/>
    <n v="89.99"/>
    <s v="Cash"/>
    <x v="2"/>
    <s v="Basic"/>
    <d v="2023-08-03T00:00:00"/>
    <n v="89.99"/>
    <d v="2026-01-14T00:00:00"/>
    <d v="2026-01-14T12:18:31"/>
    <n v="9"/>
    <n v="30"/>
    <s v="normal"/>
  </r>
  <r>
    <s v="TRX0208"/>
    <x v="27"/>
    <s v="CUST004"/>
    <s v="Sarah Davis"/>
    <s v="P010"/>
    <x v="8"/>
    <x v="0"/>
    <n v="5"/>
    <n v="89.99"/>
    <s v="Credit Card"/>
    <x v="4"/>
    <s v="Standard"/>
    <d v="2022-01-26T00:00:00"/>
    <n v="449.95"/>
    <d v="2026-01-14T00:00:00"/>
    <d v="2026-01-14T12:18:31"/>
    <n v="28"/>
    <n v="30"/>
    <s v="normal"/>
  </r>
  <r>
    <s v="TRX0234"/>
    <x v="28"/>
    <s v="CUST013"/>
    <s v="Joseph Jackson"/>
    <s v="P009"/>
    <x v="0"/>
    <x v="0"/>
    <n v="5"/>
    <n v="249.99"/>
    <s v="Credit Card"/>
    <x v="4"/>
    <s v="Standard"/>
    <d v="2022-05-26T00:00:00"/>
    <n v="1249.95"/>
    <d v="2026-01-14T00:00:00"/>
    <d v="2026-01-14T12:18:31"/>
    <n v="24"/>
    <n v="30"/>
    <s v="normal"/>
  </r>
  <r>
    <s v="TRX0121"/>
    <x v="28"/>
    <s v="CUST028"/>
    <s v="Betty Campbell"/>
    <s v="P010"/>
    <x v="8"/>
    <x v="0"/>
    <n v="1"/>
    <n v="89.99"/>
    <s v="Credit Card"/>
    <x v="1"/>
    <s v="Standard"/>
    <d v="2022-01-21T00:00:00"/>
    <n v="89.99"/>
    <d v="2026-01-14T00:00:00"/>
    <d v="2026-01-14T12:18:31"/>
    <n v="28"/>
    <n v="30"/>
    <s v="normal"/>
  </r>
  <r>
    <s v="TRX0220"/>
    <x v="29"/>
    <s v="CUST003"/>
    <s v="Michael Brown"/>
    <s v="P008"/>
    <x v="2"/>
    <x v="2"/>
    <n v="2"/>
    <n v="149.99"/>
    <s v="Cash"/>
    <x v="4"/>
    <s v="Premium"/>
    <d v="2022-03-25T00:00:00"/>
    <n v="299.98"/>
    <d v="2026-01-14T00:00:00"/>
    <d v="2026-01-14T12:18:31"/>
    <n v="26"/>
    <n v="30"/>
    <s v="normal"/>
  </r>
  <r>
    <s v="TRX0093"/>
    <x v="30"/>
    <s v="CUST050"/>
    <s v="Julie Foster"/>
    <s v="P005"/>
    <x v="1"/>
    <x v="1"/>
    <n v="4"/>
    <n v="59.99"/>
    <s v="Cash"/>
    <x v="4"/>
    <s v="Standard"/>
    <d v="2021-08-27T00:00:00"/>
    <n v="239.96"/>
    <d v="2026-01-14T00:00:00"/>
    <d v="2026-01-14T12:18:31"/>
    <n v="33"/>
    <n v="30"/>
    <s v="normal"/>
  </r>
  <r>
    <s v="TRX0088"/>
    <x v="31"/>
    <s v="CUST006"/>
    <s v="Lisa Anderson"/>
    <s v="P010"/>
    <x v="8"/>
    <x v="0"/>
    <n v="5"/>
    <n v="89.99"/>
    <s v="Cash"/>
    <x v="0"/>
    <s v="Premium"/>
    <d v="2022-01-18T00:00:00"/>
    <n v="449.95"/>
    <d v="2026-01-14T00:00:00"/>
    <d v="2026-01-14T12:18:31"/>
    <n v="28"/>
    <n v="30"/>
    <s v="normal"/>
  </r>
  <r>
    <s v="TRX0115"/>
    <x v="32"/>
    <s v="CUST012"/>
    <s v="Patricia Moore"/>
    <s v="P010"/>
    <x v="8"/>
    <x v="0"/>
    <n v="2"/>
    <n v="89.99"/>
    <s v="Credit Card"/>
    <x v="1"/>
    <s v="Premium"/>
    <d v="2021-10-02T00:00:00"/>
    <n v="179.98"/>
    <d v="2026-01-14T00:00:00"/>
    <d v="2026-01-14T12:18:31"/>
    <n v="32"/>
    <n v="30"/>
    <s v="normal"/>
  </r>
  <r>
    <s v="TRX0154"/>
    <x v="32"/>
    <s v="CUST023"/>
    <s v="Paul Baker"/>
    <s v="P001"/>
    <x v="4"/>
    <x v="0"/>
    <n v="5"/>
    <n v="899.99"/>
    <s v="Credit Card"/>
    <x v="1"/>
    <s v="Standard"/>
    <d v="2023-02-17T00:00:00"/>
    <n v="4499.95"/>
    <d v="2026-01-14T00:00:00"/>
    <d v="2026-01-14T12:18:31"/>
    <n v="15"/>
    <n v="30"/>
    <s v="high-value"/>
  </r>
  <r>
    <s v="TRX0044"/>
    <x v="32"/>
    <s v="CUST029"/>
    <s v="Edward Mitchell"/>
    <s v="P001"/>
    <x v="4"/>
    <x v="0"/>
    <n v="5"/>
    <n v="899.99"/>
    <s v="PayPal"/>
    <x v="4"/>
    <s v="Premium"/>
    <d v="2023-12-18T00:00:00"/>
    <n v="4499.95"/>
    <d v="2026-01-14T00:00:00"/>
    <d v="2026-01-14T12:18:31"/>
    <n v="5"/>
    <n v="30"/>
    <s v="high-value"/>
  </r>
  <r>
    <s v="TRX0061"/>
    <x v="33"/>
    <s v="CUST028"/>
    <s v="Betty Campbell"/>
    <s v="P005"/>
    <x v="1"/>
    <x v="1"/>
    <n v="1"/>
    <n v="59.99"/>
    <s v="Debit Card"/>
    <x v="3"/>
    <s v="Premium"/>
    <d v="2023-09-21T00:00:00"/>
    <n v="59.99"/>
    <d v="2026-01-14T00:00:00"/>
    <d v="2026-01-14T12:18:31"/>
    <n v="8"/>
    <n v="30"/>
    <s v="normal"/>
  </r>
  <r>
    <s v="TRX0150"/>
    <x v="33"/>
    <s v="CUST008"/>
    <s v="Jennifer Taylor"/>
    <s v="P007"/>
    <x v="6"/>
    <x v="2"/>
    <n v="2"/>
    <n v="299.99"/>
    <s v="Debit Card"/>
    <x v="4"/>
    <s v="Standard"/>
    <d v="2023-11-23T00:00:00"/>
    <n v="599.98"/>
    <d v="2026-01-14T00:00:00"/>
    <d v="2026-01-14T12:18:31"/>
    <n v="6"/>
    <n v="30"/>
    <s v="normal"/>
  </r>
  <r>
    <s v="TRX0025"/>
    <x v="34"/>
    <s v="CUST049"/>
    <s v="Raymond Ross"/>
    <s v="P010"/>
    <x v="8"/>
    <x v="0"/>
    <n v="4"/>
    <n v="89.99"/>
    <s v="Debit Card"/>
    <x v="1"/>
    <s v="Basic"/>
    <d v="2023-12-21T00:00:00"/>
    <n v="359.96"/>
    <d v="2026-01-14T00:00:00"/>
    <d v="2026-01-14T12:18:31"/>
    <n v="6"/>
    <n v="30"/>
    <s v="normal"/>
  </r>
  <r>
    <s v="TRX0078"/>
    <x v="35"/>
    <s v="CUST021"/>
    <s v="Kevin Scott"/>
    <s v="P004"/>
    <x v="7"/>
    <x v="1"/>
    <n v="1"/>
    <n v="79.989999999999995"/>
    <s v="PayPal"/>
    <x v="0"/>
    <s v="Premium"/>
    <d v="2024-03-01T00:00:00"/>
    <n v="79.989999999999995"/>
    <d v="2026-01-14T00:00:00"/>
    <d v="2026-01-14T12:18:31"/>
    <n v="3"/>
    <n v="30"/>
    <s v="normal"/>
  </r>
  <r>
    <s v="TRX0007"/>
    <x v="35"/>
    <s v="CUST009"/>
    <s v="Robert Thomas"/>
    <s v="P010"/>
    <x v="8"/>
    <x v="0"/>
    <n v="2"/>
    <n v="89.99"/>
    <s v="Cash"/>
    <x v="3"/>
    <s v="Basic"/>
    <d v="2021-08-30T00:00:00"/>
    <n v="179.98"/>
    <d v="2026-01-14T00:00:00"/>
    <d v="2026-01-14T12:18:31"/>
    <n v="33"/>
    <n v="30"/>
    <s v="normal"/>
  </r>
  <r>
    <s v="TRX0184"/>
    <x v="36"/>
    <s v="CUST046"/>
    <s v="Kathleen Bennett"/>
    <s v="P002"/>
    <x v="5"/>
    <x v="0"/>
    <n v="3"/>
    <n v="699.99"/>
    <s v="Credit Card"/>
    <x v="4"/>
    <s v="Premium"/>
    <d v="2023-06-25T00:00:00"/>
    <n v="2099.9699999999998"/>
    <d v="2026-01-14T00:00:00"/>
    <d v="2026-01-14T12:18:31"/>
    <n v="12"/>
    <n v="30"/>
    <s v="high-value"/>
  </r>
  <r>
    <s v="TRX0104"/>
    <x v="36"/>
    <s v="CUST012"/>
    <s v="Patricia Moore"/>
    <s v="P001"/>
    <x v="4"/>
    <x v="0"/>
    <n v="4"/>
    <n v="899.99"/>
    <s v="Credit Card"/>
    <x v="4"/>
    <s v="Premium"/>
    <d v="2023-03-08T00:00:00"/>
    <n v="3599.96"/>
    <d v="2026-01-14T00:00:00"/>
    <d v="2026-01-14T12:18:31"/>
    <n v="15"/>
    <n v="30"/>
    <s v="high-value"/>
  </r>
  <r>
    <s v="TRX0127"/>
    <x v="37"/>
    <s v="CUST030"/>
    <s v="Helen Roberts"/>
    <s v="P008"/>
    <x v="2"/>
    <x v="2"/>
    <n v="1"/>
    <n v="149.99"/>
    <s v="PayPal"/>
    <x v="4"/>
    <s v="Basic"/>
    <d v="2022-10-17T00:00:00"/>
    <n v="149.99"/>
    <d v="2026-01-14T00:00:00"/>
    <d v="2026-01-14T12:18:31"/>
    <n v="20"/>
    <n v="30"/>
    <s v="normal"/>
  </r>
  <r>
    <s v="TRX0096"/>
    <x v="38"/>
    <s v="CUST002"/>
    <s v="Emma Wilson"/>
    <s v="P010"/>
    <x v="8"/>
    <x v="0"/>
    <n v="2"/>
    <n v="89.99"/>
    <s v="PayPal"/>
    <x v="0"/>
    <s v="Premium"/>
    <d v="2023-12-15T00:00:00"/>
    <n v="179.98"/>
    <d v="2026-01-14T00:00:00"/>
    <d v="2026-01-14T12:18:31"/>
    <n v="6"/>
    <n v="31"/>
    <s v="normal"/>
  </r>
  <r>
    <s v="TRX0192"/>
    <x v="39"/>
    <s v="CUST017"/>
    <s v="Charles Allen"/>
    <s v="P010"/>
    <x v="8"/>
    <x v="0"/>
    <n v="1"/>
    <n v="89.99"/>
    <s v="PayPal"/>
    <x v="3"/>
    <s v="Standard"/>
    <d v="2022-08-29T00:00:00"/>
    <n v="89.99"/>
    <d v="2026-01-14T00:00:00"/>
    <d v="2026-01-14T12:18:31"/>
    <n v="22"/>
    <n v="31"/>
    <s v="normal"/>
  </r>
  <r>
    <s v="TRX0052"/>
    <x v="40"/>
    <s v="CUST022"/>
    <s v="Susan Green"/>
    <s v="P010"/>
    <x v="8"/>
    <x v="0"/>
    <n v="1"/>
    <n v="89.99"/>
    <s v="Cash"/>
    <x v="1"/>
    <s v="Standard"/>
    <d v="2022-02-19T00:00:00"/>
    <n v="89.99"/>
    <d v="2026-01-14T00:00:00"/>
    <d v="2026-01-14T12:18:31"/>
    <n v="28"/>
    <n v="31"/>
    <s v="normal"/>
  </r>
  <r>
    <s v="TRX0070"/>
    <x v="40"/>
    <s v="CUST007"/>
    <s v="David Martinez"/>
    <s v="P004"/>
    <x v="7"/>
    <x v="1"/>
    <n v="5"/>
    <n v="79.989999999999995"/>
    <s v="Debit Card"/>
    <x v="0"/>
    <s v="Basic"/>
    <d v="2023-02-24T00:00:00"/>
    <n v="399.95"/>
    <d v="2026-01-14T00:00:00"/>
    <d v="2026-01-14T12:18:31"/>
    <n v="16"/>
    <n v="31"/>
    <s v="normal"/>
  </r>
  <r>
    <s v="TRX0086"/>
    <x v="41"/>
    <s v="CUST020"/>
    <s v="Margaret Wright"/>
    <s v="P008"/>
    <x v="2"/>
    <x v="2"/>
    <n v="1"/>
    <n v="149.99"/>
    <s v="PayPal"/>
    <x v="2"/>
    <s v="Basic"/>
    <d v="2021-08-13T00:00:00"/>
    <n v="149.99"/>
    <d v="2026-01-14T00:00:00"/>
    <d v="2026-01-14T12:18:31"/>
    <n v="34"/>
    <n v="31"/>
    <s v="normal"/>
  </r>
  <r>
    <s v="TRX0113"/>
    <x v="41"/>
    <s v="CUST003"/>
    <s v="Michael Brown"/>
    <s v="P002"/>
    <x v="5"/>
    <x v="0"/>
    <n v="2"/>
    <n v="699.99"/>
    <s v="PayPal"/>
    <x v="4"/>
    <s v="Premium"/>
    <d v="2024-04-07T00:00:00"/>
    <n v="1399.98"/>
    <d v="2026-01-14T00:00:00"/>
    <d v="2026-01-14T12:18:31"/>
    <n v="3"/>
    <n v="31"/>
    <s v="normal"/>
  </r>
  <r>
    <s v="TRX0114"/>
    <x v="41"/>
    <s v="CUST018"/>
    <s v="Barbara Young"/>
    <s v="P010"/>
    <x v="8"/>
    <x v="0"/>
    <n v="5"/>
    <n v="89.99"/>
    <s v="Debit Card"/>
    <x v="2"/>
    <s v="Premium"/>
    <d v="2023-08-23T00:00:00"/>
    <n v="449.95"/>
    <d v="2026-01-14T00:00:00"/>
    <d v="2026-01-14T12:18:31"/>
    <n v="10"/>
    <n v="31"/>
    <s v="normal"/>
  </r>
  <r>
    <s v="TRX0136"/>
    <x v="42"/>
    <s v="CUST049"/>
    <s v="Raymond Ross"/>
    <s v="P005"/>
    <x v="1"/>
    <x v="1"/>
    <n v="4"/>
    <n v="59.99"/>
    <s v="Cash"/>
    <x v="1"/>
    <s v="Standard"/>
    <d v="2021-11-09T00:00:00"/>
    <n v="239.96"/>
    <d v="2026-01-14T00:00:00"/>
    <d v="2026-01-14T12:18:31"/>
    <n v="32"/>
    <n v="31"/>
    <s v="normal"/>
  </r>
  <r>
    <s v="TRX0018"/>
    <x v="43"/>
    <s v="CUST013"/>
    <s v="Joseph Jackson"/>
    <s v="P003"/>
    <x v="3"/>
    <x v="0"/>
    <n v="1"/>
    <n v="149.99"/>
    <s v="Cash"/>
    <x v="0"/>
    <s v="Standard"/>
    <d v="2022-12-14T00:00:00"/>
    <n v="149.99"/>
    <d v="2026-01-14T00:00:00"/>
    <d v="2026-01-14T12:18:31"/>
    <n v="18"/>
    <n v="31"/>
    <s v="normal"/>
  </r>
  <r>
    <s v="TRX0141"/>
    <x v="43"/>
    <s v="CUST033"/>
    <s v="Frank Torres"/>
    <s v="P007"/>
    <x v="6"/>
    <x v="2"/>
    <n v="1"/>
    <n v="299.99"/>
    <s v="Credit Card"/>
    <x v="2"/>
    <s v="Premium"/>
    <d v="2022-11-26T00:00:00"/>
    <n v="299.99"/>
    <d v="2026-01-14T00:00:00"/>
    <d v="2026-01-14T12:18:31"/>
    <n v="19"/>
    <n v="31"/>
    <s v="normal"/>
  </r>
  <r>
    <s v="TRX0097"/>
    <x v="44"/>
    <s v="CUST033"/>
    <s v="Frank Torres"/>
    <s v="P006"/>
    <x v="9"/>
    <x v="2"/>
    <n v="2"/>
    <n v="199.99"/>
    <s v="Cash"/>
    <x v="2"/>
    <s v="Basic"/>
    <d v="2021-12-11T00:00:00"/>
    <n v="399.98"/>
    <d v="2026-01-14T00:00:00"/>
    <d v="2026-01-14T12:18:31"/>
    <n v="31"/>
    <n v="31"/>
    <s v="normal"/>
  </r>
  <r>
    <s v="TRX0169"/>
    <x v="45"/>
    <s v="CUST047"/>
    <s v="Gerald Murphy"/>
    <s v="P005"/>
    <x v="1"/>
    <x v="1"/>
    <n v="3"/>
    <n v="59.99"/>
    <s v="Credit Card"/>
    <x v="3"/>
    <s v="Basic"/>
    <d v="2023-07-23T00:00:00"/>
    <n v="179.97"/>
    <d v="2026-01-14T00:00:00"/>
    <d v="2026-01-14T12:18:31"/>
    <n v="11"/>
    <n v="31"/>
    <s v="normal"/>
  </r>
  <r>
    <s v="TRX0216"/>
    <x v="45"/>
    <s v="CUST041"/>
    <s v="Peter Richardson"/>
    <s v="P008"/>
    <x v="2"/>
    <x v="2"/>
    <n v="3"/>
    <n v="149.99"/>
    <s v="Cash"/>
    <x v="0"/>
    <s v="Premium"/>
    <d v="2023-09-30T00:00:00"/>
    <n v="449.97"/>
    <d v="2026-01-14T00:00:00"/>
    <d v="2026-01-14T12:18:31"/>
    <n v="9"/>
    <n v="31"/>
    <s v="normal"/>
  </r>
  <r>
    <s v="TRX0131"/>
    <x v="46"/>
    <s v="CUST026"/>
    <s v="Karen Hill"/>
    <s v="P006"/>
    <x v="9"/>
    <x v="2"/>
    <n v="3"/>
    <n v="199.99"/>
    <s v="Cash"/>
    <x v="2"/>
    <s v="Premium"/>
    <d v="2023-11-24T00:00:00"/>
    <n v="599.97"/>
    <d v="2026-01-14T00:00:00"/>
    <d v="2026-01-14T12:18:31"/>
    <n v="7"/>
    <n v="31"/>
    <s v="normal"/>
  </r>
  <r>
    <s v="TRX0162"/>
    <x v="47"/>
    <s v="CUST040"/>
    <s v="Sharon Butler"/>
    <s v="P001"/>
    <x v="4"/>
    <x v="0"/>
    <n v="1"/>
    <n v="899.99"/>
    <s v="Cash"/>
    <x v="0"/>
    <s v="Standard"/>
    <d v="2023-09-10T00:00:00"/>
    <n v="899.99"/>
    <d v="2026-01-14T00:00:00"/>
    <d v="2026-01-14T12:18:31"/>
    <n v="10"/>
    <n v="31"/>
    <s v="normal"/>
  </r>
  <r>
    <s v="TRX0244"/>
    <x v="48"/>
    <s v="CUST013"/>
    <s v="Joseph Jackson"/>
    <s v="P001"/>
    <x v="4"/>
    <x v="0"/>
    <n v="5"/>
    <n v="899.99"/>
    <s v="Debit Card"/>
    <x v="1"/>
    <s v="Standard"/>
    <d v="2022-12-04T00:00:00"/>
    <n v="4499.95"/>
    <d v="2026-01-14T00:00:00"/>
    <d v="2026-01-14T12:18:31"/>
    <n v="19"/>
    <n v="31"/>
    <s v="high-value"/>
  </r>
  <r>
    <s v="TRX0006"/>
    <x v="49"/>
    <s v="CUST007"/>
    <s v="David Martinez"/>
    <s v="P005"/>
    <x v="1"/>
    <x v="1"/>
    <n v="2"/>
    <n v="59.99"/>
    <s v="Cash"/>
    <x v="2"/>
    <s v="Standard"/>
    <d v="2023-08-14T00:00:00"/>
    <n v="119.98"/>
    <d v="2026-01-14T00:00:00"/>
    <d v="2026-01-14T12:18:31"/>
    <n v="11"/>
    <n v="31"/>
    <s v="normal"/>
  </r>
  <r>
    <s v="TRX0215"/>
    <x v="49"/>
    <s v="CUST047"/>
    <s v="Gerald Murphy"/>
    <s v="P009"/>
    <x v="0"/>
    <x v="0"/>
    <n v="4"/>
    <n v="249.99"/>
    <s v="Debit Card"/>
    <x v="0"/>
    <s v="Standard"/>
    <d v="2023-07-20T00:00:00"/>
    <n v="999.96"/>
    <d v="2026-01-14T00:00:00"/>
    <d v="2026-01-14T12:18:31"/>
    <n v="12"/>
    <n v="31"/>
    <s v="normal"/>
  </r>
  <r>
    <s v="TRX0080"/>
    <x v="50"/>
    <s v="CUST018"/>
    <s v="Barbara Young"/>
    <s v="P009"/>
    <x v="0"/>
    <x v="0"/>
    <n v="2"/>
    <n v="249.99"/>
    <s v="Cash"/>
    <x v="2"/>
    <s v="Premium"/>
    <d v="2023-08-26T00:00:00"/>
    <n v="499.98"/>
    <d v="2026-01-14T00:00:00"/>
    <d v="2026-01-14T12:18:31"/>
    <n v="11"/>
    <n v="31"/>
    <s v="normal"/>
  </r>
  <r>
    <s v="TRX0228"/>
    <x v="50"/>
    <s v="CUST019"/>
    <s v="Daniel King"/>
    <s v="P007"/>
    <x v="6"/>
    <x v="2"/>
    <n v="1"/>
    <n v="299.99"/>
    <s v="Cash"/>
    <x v="1"/>
    <s v="Basic"/>
    <d v="2023-02-25T00:00:00"/>
    <n v="299.99"/>
    <d v="2026-01-14T00:00:00"/>
    <d v="2026-01-14T12:18:31"/>
    <n v="17"/>
    <n v="31"/>
    <s v="normal"/>
  </r>
  <r>
    <s v="TRX0157"/>
    <x v="51"/>
    <s v="CUST025"/>
    <s v="Mark Carter"/>
    <s v="P010"/>
    <x v="8"/>
    <x v="0"/>
    <n v="2"/>
    <n v="89.99"/>
    <s v="PayPal"/>
    <x v="1"/>
    <s v="Basic"/>
    <d v="2023-02-19T00:00:00"/>
    <n v="179.98"/>
    <d v="2026-01-14T00:00:00"/>
    <d v="2026-01-14T12:18:31"/>
    <n v="17"/>
    <n v="31"/>
    <s v="normal"/>
  </r>
  <r>
    <s v="TRX0002"/>
    <x v="51"/>
    <s v="CUST019"/>
    <s v="Daniel King"/>
    <s v="P007"/>
    <x v="6"/>
    <x v="2"/>
    <n v="3"/>
    <n v="299.99"/>
    <s v="Cash"/>
    <x v="0"/>
    <s v="Basic"/>
    <d v="2022-06-20T00:00:00"/>
    <n v="899.97"/>
    <d v="2026-01-14T00:00:00"/>
    <d v="2026-01-14T12:18:31"/>
    <n v="25"/>
    <n v="31"/>
    <s v="normal"/>
  </r>
  <r>
    <s v="TRX0217"/>
    <x v="52"/>
    <s v="CUST025"/>
    <s v="Mark Carter"/>
    <s v="P002"/>
    <x v="5"/>
    <x v="0"/>
    <n v="2"/>
    <n v="699.99"/>
    <s v="Credit Card"/>
    <x v="2"/>
    <s v="Premium"/>
    <d v="2023-03-14T00:00:00"/>
    <n v="1399.98"/>
    <d v="2026-01-14T00:00:00"/>
    <d v="2026-01-14T12:18:31"/>
    <n v="16"/>
    <n v="31"/>
    <s v="normal"/>
  </r>
  <r>
    <s v="TRX0249"/>
    <x v="53"/>
    <s v="CUST030"/>
    <s v="Helen Roberts"/>
    <s v="P001"/>
    <x v="4"/>
    <x v="0"/>
    <n v="4"/>
    <n v="899.99"/>
    <s v="Debit Card"/>
    <x v="1"/>
    <s v="Standard"/>
    <d v="2021-11-23T00:00:00"/>
    <n v="3599.96"/>
    <d v="2026-01-14T00:00:00"/>
    <d v="2026-01-14T12:18:31"/>
    <n v="32"/>
    <n v="31"/>
    <s v="high-value"/>
  </r>
  <r>
    <s v="TRX0065"/>
    <x v="54"/>
    <s v="CUST016"/>
    <s v="Elizabeth Hall"/>
    <s v="P008"/>
    <x v="2"/>
    <x v="2"/>
    <n v="2"/>
    <n v="149.99"/>
    <s v="Credit Card"/>
    <x v="3"/>
    <s v="Basic"/>
    <d v="2021-12-12T00:00:00"/>
    <n v="299.98"/>
    <d v="2026-01-14T00:00:00"/>
    <d v="2026-01-14T12:18:31"/>
    <n v="31"/>
    <n v="31"/>
    <s v="normal"/>
  </r>
  <r>
    <s v="TRX0176"/>
    <x v="55"/>
    <s v="CUST044"/>
    <s v="Cynthia Price"/>
    <s v="P008"/>
    <x v="2"/>
    <x v="2"/>
    <n v="2"/>
    <n v="149.99"/>
    <s v="Debit Card"/>
    <x v="4"/>
    <s v="Standard"/>
    <d v="2022-04-16T00:00:00"/>
    <n v="299.98"/>
    <d v="2026-01-14T00:00:00"/>
    <d v="2026-01-14T12:18:31"/>
    <n v="27"/>
    <n v="31"/>
    <s v="normal"/>
  </r>
  <r>
    <s v="TRX0101"/>
    <x v="56"/>
    <s v="CUST010"/>
    <s v="Maria Garcia"/>
    <s v="P010"/>
    <x v="8"/>
    <x v="0"/>
    <n v="1"/>
    <n v="89.99"/>
    <s v="Credit Card"/>
    <x v="2"/>
    <s v="Standard"/>
    <d v="2024-04-11T00:00:00"/>
    <n v="89.99"/>
    <d v="2026-01-14T00:00:00"/>
    <d v="2026-01-14T12:18:31"/>
    <n v="3"/>
    <n v="31"/>
    <s v="normal"/>
  </r>
  <r>
    <s v="TRX0205"/>
    <x v="57"/>
    <s v="CUST025"/>
    <s v="Mark Carter"/>
    <s v="P007"/>
    <x v="6"/>
    <x v="2"/>
    <n v="5"/>
    <n v="299.99"/>
    <s v="Credit Card"/>
    <x v="2"/>
    <s v="Basic"/>
    <d v="2023-02-08T00:00:00"/>
    <n v="1499.95"/>
    <d v="2026-01-14T00:00:00"/>
    <d v="2026-01-14T12:18:31"/>
    <n v="18"/>
    <n v="31"/>
    <s v="normal"/>
  </r>
  <r>
    <s v="TRX0020"/>
    <x v="58"/>
    <s v="CUST007"/>
    <s v="David Martinez"/>
    <s v="P003"/>
    <x v="3"/>
    <x v="0"/>
    <n v="4"/>
    <n v="149.99"/>
    <s v="Debit Card"/>
    <x v="1"/>
    <s v="Premium"/>
    <d v="2022-09-16T00:00:00"/>
    <n v="599.96"/>
    <d v="2026-01-14T00:00:00"/>
    <d v="2026-01-14T12:18:31"/>
    <n v="22"/>
    <n v="31"/>
    <s v="normal"/>
  </r>
  <r>
    <s v="TRX0075"/>
    <x v="58"/>
    <s v="CUST020"/>
    <s v="Margaret Wright"/>
    <s v="P009"/>
    <x v="0"/>
    <x v="0"/>
    <n v="5"/>
    <n v="249.99"/>
    <s v="PayPal"/>
    <x v="4"/>
    <s v="Premium"/>
    <d v="2022-08-09T00:00:00"/>
    <n v="1249.95"/>
    <d v="2026-01-14T00:00:00"/>
    <d v="2026-01-14T12:18:31"/>
    <n v="24"/>
    <n v="31"/>
    <s v="normal"/>
  </r>
  <r>
    <s v="TRX0098"/>
    <x v="58"/>
    <s v="CUST026"/>
    <s v="Karen Hill"/>
    <s v="P009"/>
    <x v="0"/>
    <x v="0"/>
    <n v="3"/>
    <n v="249.99"/>
    <s v="PayPal"/>
    <x v="2"/>
    <s v="Premium"/>
    <d v="2021-09-26T00:00:00"/>
    <n v="749.97"/>
    <d v="2026-01-14T00:00:00"/>
    <d v="2026-01-14T12:18:31"/>
    <n v="34"/>
    <n v="31"/>
    <s v="normal"/>
  </r>
  <r>
    <s v="TRX0247"/>
    <x v="58"/>
    <s v="CUST046"/>
    <s v="Kathleen Bennett"/>
    <s v="P006"/>
    <x v="9"/>
    <x v="2"/>
    <n v="4"/>
    <n v="199.99"/>
    <s v="Cash"/>
    <x v="2"/>
    <s v="Standard"/>
    <d v="2021-09-19T00:00:00"/>
    <n v="799.96"/>
    <d v="2026-01-14T00:00:00"/>
    <d v="2026-01-14T12:18:31"/>
    <n v="34"/>
    <n v="31"/>
    <s v="normal"/>
  </r>
  <r>
    <s v="TRX0027"/>
    <x v="59"/>
    <s v="CUST028"/>
    <s v="Betty Campbell"/>
    <s v="P006"/>
    <x v="9"/>
    <x v="2"/>
    <n v="5"/>
    <n v="199.99"/>
    <s v="Cash"/>
    <x v="2"/>
    <s v="Premium"/>
    <d v="2023-03-06T00:00:00"/>
    <n v="999.95"/>
    <d v="2026-01-14T00:00:00"/>
    <d v="2026-01-14T12:18:31"/>
    <n v="17"/>
    <n v="31"/>
    <s v="normal"/>
  </r>
  <r>
    <s v="TRX0140"/>
    <x v="60"/>
    <s v="CUST025"/>
    <s v="Mark Carter"/>
    <s v="P010"/>
    <x v="8"/>
    <x v="0"/>
    <n v="2"/>
    <n v="89.99"/>
    <s v="Cash"/>
    <x v="4"/>
    <s v="Premium"/>
    <d v="2023-02-15T00:00:00"/>
    <n v="179.98"/>
    <d v="2026-01-14T00:00:00"/>
    <d v="2026-01-14T12:18:31"/>
    <n v="18"/>
    <n v="31"/>
    <s v="normal"/>
  </r>
  <r>
    <s v="TRX0132"/>
    <x v="61"/>
    <s v="CUST047"/>
    <s v="Gerald Murphy"/>
    <s v="P001"/>
    <x v="4"/>
    <x v="0"/>
    <n v="5"/>
    <n v="899.99"/>
    <s v="Debit Card"/>
    <x v="4"/>
    <s v="Basic"/>
    <d v="2021-11-26T00:00:00"/>
    <n v="4499.95"/>
    <d v="2026-01-14T00:00:00"/>
    <d v="2026-01-14T12:18:31"/>
    <n v="32"/>
    <n v="31"/>
    <s v="high-value"/>
  </r>
  <r>
    <s v="TRX0031"/>
    <x v="61"/>
    <s v="CUST036"/>
    <s v="Nancy Collins"/>
    <s v="P003"/>
    <x v="3"/>
    <x v="0"/>
    <n v="3"/>
    <n v="149.99"/>
    <s v="PayPal"/>
    <x v="4"/>
    <s v="Basic"/>
    <d v="2022-01-13T00:00:00"/>
    <n v="449.97"/>
    <d v="2026-01-14T00:00:00"/>
    <d v="2026-01-14T12:18:31"/>
    <n v="31"/>
    <n v="31"/>
    <s v="normal"/>
  </r>
  <r>
    <s v="TRX0236"/>
    <x v="62"/>
    <s v="CUST044"/>
    <s v="Cynthia Price"/>
    <s v="P008"/>
    <x v="2"/>
    <x v="2"/>
    <n v="5"/>
    <n v="149.99"/>
    <s v="Credit Card"/>
    <x v="0"/>
    <s v="Basic"/>
    <d v="2024-01-19T00:00:00"/>
    <n v="749.95"/>
    <d v="2026-01-14T00:00:00"/>
    <d v="2026-01-14T12:18:31"/>
    <n v="7"/>
    <n v="31"/>
    <s v="normal"/>
  </r>
  <r>
    <s v="TRX0001"/>
    <x v="63"/>
    <s v="CUST039"/>
    <s v="Lawrence Reed"/>
    <s v="P004"/>
    <x v="7"/>
    <x v="1"/>
    <n v="3"/>
    <n v="79.989999999999995"/>
    <s v="Cash"/>
    <x v="0"/>
    <s v="Premium"/>
    <d v="2022-08-06T00:00:00"/>
    <n v="239.97"/>
    <d v="2026-01-14T00:00:00"/>
    <d v="2026-01-14T12:18:31"/>
    <n v="24"/>
    <n v="31"/>
    <s v="normal"/>
  </r>
  <r>
    <s v="TRX0037"/>
    <x v="63"/>
    <s v="CUST035"/>
    <s v="Harry Morgan"/>
    <s v="P009"/>
    <x v="0"/>
    <x v="0"/>
    <n v="2"/>
    <n v="249.99"/>
    <s v="Cash"/>
    <x v="1"/>
    <s v="Standard"/>
    <d v="2022-01-11T00:00:00"/>
    <n v="499.98"/>
    <d v="2026-01-14T00:00:00"/>
    <d v="2026-01-14T12:18:31"/>
    <n v="31"/>
    <n v="31"/>
    <s v="normal"/>
  </r>
  <r>
    <s v="TRX0058"/>
    <x v="64"/>
    <s v="CUST047"/>
    <s v="Gerald Murphy"/>
    <s v="P002"/>
    <x v="5"/>
    <x v="0"/>
    <n v="1"/>
    <n v="699.99"/>
    <s v="Cash"/>
    <x v="0"/>
    <s v="Premium"/>
    <d v="2021-10-28T00:00:00"/>
    <n v="699.99"/>
    <d v="2026-01-14T00:00:00"/>
    <d v="2026-01-14T12:18:31"/>
    <n v="34"/>
    <n v="31"/>
    <s v="normal"/>
  </r>
  <r>
    <s v="TRX0170"/>
    <x v="64"/>
    <s v="CUST034"/>
    <s v="Carol Evans"/>
    <s v="P003"/>
    <x v="3"/>
    <x v="0"/>
    <n v="3"/>
    <n v="149.99"/>
    <s v="Cash"/>
    <x v="3"/>
    <s v="Premium"/>
    <d v="2023-10-13T00:00:00"/>
    <n v="449.97"/>
    <d v="2026-01-14T00:00:00"/>
    <d v="2026-01-14T12:18:31"/>
    <n v="10"/>
    <n v="31"/>
    <s v="normal"/>
  </r>
  <r>
    <s v="TRX0248"/>
    <x v="65"/>
    <s v="CUST032"/>
    <s v="Sandra Phillips"/>
    <s v="P002"/>
    <x v="5"/>
    <x v="0"/>
    <n v="2"/>
    <n v="699.99"/>
    <s v="Credit Card"/>
    <x v="2"/>
    <s v="Premium"/>
    <d v="2021-08-13T00:00:00"/>
    <n v="1399.98"/>
    <d v="2026-01-14T00:00:00"/>
    <d v="2026-01-14T12:18:31"/>
    <n v="36"/>
    <n v="31"/>
    <s v="normal"/>
  </r>
  <r>
    <s v="TRX0099"/>
    <x v="66"/>
    <s v="CUST034"/>
    <s v="Carol Evans"/>
    <s v="P009"/>
    <x v="0"/>
    <x v="0"/>
    <n v="1"/>
    <n v="249.99"/>
    <s v="Credit Card"/>
    <x v="3"/>
    <s v="Premium"/>
    <d v="2022-05-04T00:00:00"/>
    <n v="249.99"/>
    <d v="2026-01-14T00:00:00"/>
    <d v="2026-01-14T12:18:31"/>
    <n v="27"/>
    <n v="30"/>
    <s v="normal"/>
  </r>
  <r>
    <s v="TRX0074"/>
    <x v="66"/>
    <s v="CUST023"/>
    <s v="Paul Baker"/>
    <s v="P009"/>
    <x v="0"/>
    <x v="0"/>
    <n v="1"/>
    <n v="249.99"/>
    <s v="Debit Card"/>
    <x v="2"/>
    <s v="Premium"/>
    <d v="2024-02-10T00:00:00"/>
    <n v="249.99"/>
    <d v="2026-01-14T00:00:00"/>
    <d v="2026-01-14T12:18:31"/>
    <n v="6"/>
    <n v="30"/>
    <s v="normal"/>
  </r>
  <r>
    <s v="TRX0225"/>
    <x v="67"/>
    <s v="CUST039"/>
    <s v="Lawrence Reed"/>
    <s v="P002"/>
    <x v="5"/>
    <x v="0"/>
    <n v="2"/>
    <n v="699.99"/>
    <s v="Debit Card"/>
    <x v="0"/>
    <s v="Premium"/>
    <d v="2022-11-05T00:00:00"/>
    <n v="1399.98"/>
    <d v="2026-01-14T00:00:00"/>
    <d v="2026-01-14T12:18:31"/>
    <n v="21"/>
    <n v="30"/>
    <s v="normal"/>
  </r>
  <r>
    <s v="TRX0100"/>
    <x v="68"/>
    <s v="CUST031"/>
    <s v="Steven Turner"/>
    <s v="P005"/>
    <x v="1"/>
    <x v="1"/>
    <n v="3"/>
    <n v="59.99"/>
    <s v="Credit Card"/>
    <x v="0"/>
    <s v="Premium"/>
    <d v="2022-06-05T00:00:00"/>
    <n v="179.97"/>
    <d v="2026-01-14T00:00:00"/>
    <d v="2026-01-14T12:18:31"/>
    <n v="27"/>
    <n v="30"/>
    <s v="normal"/>
  </r>
  <r>
    <s v="TRX0142"/>
    <x v="69"/>
    <s v="CUST002"/>
    <s v="Emma Wilson"/>
    <s v="P005"/>
    <x v="1"/>
    <x v="1"/>
    <n v="3"/>
    <n v="59.99"/>
    <s v="PayPal"/>
    <x v="4"/>
    <s v="Standard"/>
    <d v="2022-07-06T00:00:00"/>
    <n v="179.97"/>
    <d v="2026-01-14T00:00:00"/>
    <d v="2026-01-14T12:18:31"/>
    <n v="26"/>
    <n v="30"/>
    <s v="normal"/>
  </r>
  <r>
    <s v="TRX0112"/>
    <x v="69"/>
    <s v="CUST008"/>
    <s v="Jennifer Taylor"/>
    <s v="P004"/>
    <x v="7"/>
    <x v="1"/>
    <n v="4"/>
    <n v="79.989999999999995"/>
    <s v="Cash"/>
    <x v="2"/>
    <s v="Basic"/>
    <d v="2021-11-30T00:00:00"/>
    <n v="319.95999999999998"/>
    <d v="2026-01-14T00:00:00"/>
    <d v="2026-01-14T12:18:31"/>
    <n v="33"/>
    <n v="30"/>
    <s v="normal"/>
  </r>
  <r>
    <s v="TRX0161"/>
    <x v="70"/>
    <s v="CUST017"/>
    <s v="Charles Allen"/>
    <s v="P004"/>
    <x v="7"/>
    <x v="1"/>
    <n v="1"/>
    <n v="79.989999999999995"/>
    <s v="Cash"/>
    <x v="3"/>
    <s v="Basic"/>
    <d v="2022-05-12T00:00:00"/>
    <n v="79.989999999999995"/>
    <d v="2026-01-14T00:00:00"/>
    <d v="2026-01-14T12:18:31"/>
    <n v="27"/>
    <n v="30"/>
    <s v="normal"/>
  </r>
  <r>
    <s v="TRX0108"/>
    <x v="71"/>
    <s v="CUST024"/>
    <s v="Dorothy Nelson"/>
    <s v="P007"/>
    <x v="6"/>
    <x v="2"/>
    <n v="3"/>
    <n v="299.99"/>
    <s v="Credit Card"/>
    <x v="0"/>
    <s v="Premium"/>
    <d v="2021-10-25T00:00:00"/>
    <n v="899.97"/>
    <d v="2026-01-14T00:00:00"/>
    <d v="2026-01-14T12:18:31"/>
    <n v="34"/>
    <n v="30"/>
    <s v="normal"/>
  </r>
  <r>
    <s v="TRX0211"/>
    <x v="72"/>
    <s v="CUST046"/>
    <s v="Kathleen Bennett"/>
    <s v="P010"/>
    <x v="8"/>
    <x v="0"/>
    <n v="2"/>
    <n v="89.99"/>
    <s v="Credit Card"/>
    <x v="1"/>
    <s v="Premium"/>
    <d v="2022-03-21T00:00:00"/>
    <n v="179.98"/>
    <d v="2026-01-14T00:00:00"/>
    <d v="2026-01-14T12:18:31"/>
    <n v="29"/>
    <n v="30"/>
    <s v="normal"/>
  </r>
  <r>
    <s v="TRX0005"/>
    <x v="73"/>
    <s v="CUST042"/>
    <s v="Ruth Brooks"/>
    <s v="P003"/>
    <x v="3"/>
    <x v="0"/>
    <n v="4"/>
    <n v="149.99"/>
    <s v="Cash"/>
    <x v="2"/>
    <s v="Basic"/>
    <d v="2022-12-14T00:00:00"/>
    <n v="599.96"/>
    <d v="2026-01-14T00:00:00"/>
    <d v="2026-01-14T12:18:31"/>
    <n v="21"/>
    <n v="30"/>
    <s v="normal"/>
  </r>
  <r>
    <s v="TRX0195"/>
    <x v="74"/>
    <s v="CUST026"/>
    <s v="Karen Hill"/>
    <s v="P009"/>
    <x v="0"/>
    <x v="0"/>
    <n v="2"/>
    <n v="249.99"/>
    <s v="PayPal"/>
    <x v="1"/>
    <s v="Basic"/>
    <d v="2023-03-08T00:00:00"/>
    <n v="499.98"/>
    <d v="2026-01-14T00:00:00"/>
    <d v="2026-01-14T12:18:31"/>
    <n v="18"/>
    <n v="30"/>
    <s v="normal"/>
  </r>
  <r>
    <s v="TRX0054"/>
    <x v="74"/>
    <s v="CUST004"/>
    <s v="Sarah Davis"/>
    <s v="P006"/>
    <x v="9"/>
    <x v="2"/>
    <n v="4"/>
    <n v="199.99"/>
    <s v="Debit Card"/>
    <x v="4"/>
    <s v="Basic"/>
    <d v="2021-09-19T00:00:00"/>
    <n v="799.96"/>
    <d v="2026-01-14T00:00:00"/>
    <d v="2026-01-14T12:18:31"/>
    <n v="35"/>
    <n v="30"/>
    <s v="normal"/>
  </r>
  <r>
    <s v="TRX0077"/>
    <x v="75"/>
    <s v="CUST019"/>
    <s v="Daniel King"/>
    <s v="P010"/>
    <x v="8"/>
    <x v="0"/>
    <n v="5"/>
    <n v="89.99"/>
    <s v="Credit Card"/>
    <x v="4"/>
    <s v="Premium"/>
    <d v="2021-09-07T00:00:00"/>
    <n v="449.95"/>
    <d v="2026-01-14T00:00:00"/>
    <d v="2026-01-14T12:18:31"/>
    <n v="36"/>
    <n v="30"/>
    <s v="normal"/>
  </r>
  <r>
    <s v="TRX0111"/>
    <x v="75"/>
    <s v="CUST011"/>
    <s v="William White"/>
    <s v="P003"/>
    <x v="3"/>
    <x v="0"/>
    <n v="1"/>
    <n v="149.99"/>
    <s v="PayPal"/>
    <x v="4"/>
    <s v="Standard"/>
    <d v="2021-10-13T00:00:00"/>
    <n v="149.99"/>
    <d v="2026-01-14T00:00:00"/>
    <d v="2026-01-14T12:18:31"/>
    <n v="35"/>
    <n v="30"/>
    <s v="normal"/>
  </r>
  <r>
    <s v="TRX0123"/>
    <x v="75"/>
    <s v="CUST041"/>
    <s v="Peter Richardson"/>
    <s v="P002"/>
    <x v="5"/>
    <x v="0"/>
    <n v="4"/>
    <n v="699.99"/>
    <s v="PayPal"/>
    <x v="1"/>
    <s v="Basic"/>
    <d v="2022-02-26T00:00:00"/>
    <n v="2799.96"/>
    <d v="2026-01-14T00:00:00"/>
    <d v="2026-01-14T12:18:31"/>
    <n v="30"/>
    <n v="30"/>
    <s v="high-value"/>
  </r>
  <r>
    <s v="TRX0177"/>
    <x v="76"/>
    <s v="CUST032"/>
    <s v="Sandra Phillips"/>
    <s v="P001"/>
    <x v="4"/>
    <x v="0"/>
    <n v="3"/>
    <n v="899.99"/>
    <s v="Credit Card"/>
    <x v="2"/>
    <s v="Standard"/>
    <d v="2023-08-19T00:00:00"/>
    <n v="2699.97"/>
    <d v="2026-01-14T00:00:00"/>
    <d v="2026-01-14T12:18:31"/>
    <n v="13"/>
    <n v="30"/>
    <s v="high-value"/>
  </r>
  <r>
    <s v="TRX0119"/>
    <x v="77"/>
    <s v="CUST014"/>
    <s v="Linda Martin"/>
    <s v="P008"/>
    <x v="2"/>
    <x v="2"/>
    <n v="3"/>
    <n v="149.99"/>
    <s v="PayPal"/>
    <x v="4"/>
    <s v="Basic"/>
    <d v="2022-11-21T00:00:00"/>
    <n v="449.97"/>
    <d v="2026-01-14T00:00:00"/>
    <d v="2026-01-14T12:18:31"/>
    <n v="22"/>
    <n v="30"/>
    <s v="normal"/>
  </r>
  <r>
    <s v="TRX0181"/>
    <x v="78"/>
    <s v="CUST012"/>
    <s v="Patricia Moore"/>
    <s v="P007"/>
    <x v="6"/>
    <x v="2"/>
    <n v="2"/>
    <n v="299.99"/>
    <s v="Debit Card"/>
    <x v="0"/>
    <s v="Basic"/>
    <d v="2022-01-08T00:00:00"/>
    <n v="599.98"/>
    <d v="2026-01-14T00:00:00"/>
    <d v="2026-01-14T12:18:31"/>
    <n v="32"/>
    <n v="30"/>
    <s v="normal"/>
  </r>
  <r>
    <s v="TRX0129"/>
    <x v="79"/>
    <s v="CUST015"/>
    <s v="Richard Lee"/>
    <s v="P006"/>
    <x v="9"/>
    <x v="2"/>
    <n v="1"/>
    <n v="199.99"/>
    <s v="Debit Card"/>
    <x v="4"/>
    <s v="Standard"/>
    <d v="2023-01-27T00:00:00"/>
    <n v="199.99"/>
    <d v="2026-01-14T00:00:00"/>
    <d v="2026-01-14T12:18:31"/>
    <n v="20"/>
    <n v="30"/>
    <s v="normal"/>
  </r>
  <r>
    <s v="TRX0174"/>
    <x v="80"/>
    <s v="CUST003"/>
    <s v="Michael Brown"/>
    <s v="P007"/>
    <x v="6"/>
    <x v="2"/>
    <n v="4"/>
    <n v="299.99"/>
    <s v="Cash"/>
    <x v="0"/>
    <s v="Premium"/>
    <d v="2021-09-21T00:00:00"/>
    <n v="1199.96"/>
    <d v="2026-01-14T00:00:00"/>
    <d v="2026-01-14T12:18:31"/>
    <n v="36"/>
    <n v="31"/>
    <s v="normal"/>
  </r>
  <r>
    <s v="TRX0146"/>
    <x v="81"/>
    <s v="CUST010"/>
    <s v="Maria Garcia"/>
    <s v="P005"/>
    <x v="1"/>
    <x v="1"/>
    <n v="2"/>
    <n v="59.99"/>
    <s v="Credit Card"/>
    <x v="0"/>
    <s v="Basic"/>
    <d v="2022-01-18T00:00:00"/>
    <n v="119.98"/>
    <d v="2026-01-14T00:00:00"/>
    <d v="2026-01-14T12:18:31"/>
    <n v="32"/>
    <n v="31"/>
    <s v="normal"/>
  </r>
  <r>
    <s v="TRX0203"/>
    <x v="81"/>
    <s v="CUST032"/>
    <s v="Sandra Phillips"/>
    <s v="P003"/>
    <x v="3"/>
    <x v="0"/>
    <n v="4"/>
    <n v="149.99"/>
    <s v="Credit Card"/>
    <x v="2"/>
    <s v="Premium"/>
    <d v="2023-05-30T00:00:00"/>
    <n v="599.96"/>
    <d v="2026-01-14T00:00:00"/>
    <d v="2026-01-14T12:18:31"/>
    <n v="16"/>
    <n v="31"/>
    <s v="normal"/>
  </r>
  <r>
    <s v="TRX0055"/>
    <x v="82"/>
    <s v="CUST016"/>
    <s v="Elizabeth Hall"/>
    <s v="P002"/>
    <x v="5"/>
    <x v="0"/>
    <n v="2"/>
    <n v="699.99"/>
    <s v="Debit Card"/>
    <x v="4"/>
    <s v="Premium"/>
    <d v="2023-12-14T00:00:00"/>
    <n v="1399.98"/>
    <d v="2026-01-14T00:00:00"/>
    <d v="2026-01-14T12:18:31"/>
    <n v="9"/>
    <n v="31"/>
    <s v="normal"/>
  </r>
  <r>
    <s v="TRX0218"/>
    <x v="82"/>
    <s v="CUST034"/>
    <s v="Carol Evans"/>
    <s v="P008"/>
    <x v="2"/>
    <x v="2"/>
    <n v="3"/>
    <n v="149.99"/>
    <s v="Credit Card"/>
    <x v="1"/>
    <s v="Standard"/>
    <d v="2023-01-14T00:00:00"/>
    <n v="449.97"/>
    <d v="2026-01-14T00:00:00"/>
    <d v="2026-01-14T12:18:31"/>
    <n v="20"/>
    <n v="31"/>
    <s v="normal"/>
  </r>
  <r>
    <s v="TRX0085"/>
    <x v="83"/>
    <s v="CUST019"/>
    <s v="Daniel King"/>
    <s v="P007"/>
    <x v="6"/>
    <x v="2"/>
    <n v="3"/>
    <n v="299.99"/>
    <s v="Credit Card"/>
    <x v="0"/>
    <s v="Standard"/>
    <d v="2023-09-05T00:00:00"/>
    <n v="899.97"/>
    <d v="2026-01-14T00:00:00"/>
    <d v="2026-01-14T12:18:31"/>
    <n v="13"/>
    <n v="31"/>
    <s v="normal"/>
  </r>
  <r>
    <s v="TRX0158"/>
    <x v="84"/>
    <s v="CUST027"/>
    <s v="George Adams"/>
    <s v="P001"/>
    <x v="4"/>
    <x v="0"/>
    <n v="3"/>
    <n v="899.99"/>
    <s v="PayPal"/>
    <x v="3"/>
    <s v="Basic"/>
    <d v="2023-10-16T00:00:00"/>
    <n v="2699.97"/>
    <d v="2026-01-14T00:00:00"/>
    <d v="2026-01-14T12:18:31"/>
    <n v="11"/>
    <n v="31"/>
    <s v="high-value"/>
  </r>
  <r>
    <s v="TRX0173"/>
    <x v="85"/>
    <s v="CUST018"/>
    <s v="Barbara Young"/>
    <s v="P002"/>
    <x v="5"/>
    <x v="0"/>
    <n v="5"/>
    <n v="699.99"/>
    <s v="Cash"/>
    <x v="4"/>
    <s v="Standard"/>
    <d v="2023-03-23T00:00:00"/>
    <n v="3499.95"/>
    <d v="2026-01-14T00:00:00"/>
    <d v="2026-01-14T12:18:31"/>
    <n v="18"/>
    <n v="31"/>
    <s v="high-value"/>
  </r>
  <r>
    <s v="TRX0034"/>
    <x v="85"/>
    <s v="CUST049"/>
    <s v="Raymond Ross"/>
    <s v="P002"/>
    <x v="5"/>
    <x v="0"/>
    <n v="4"/>
    <n v="699.99"/>
    <s v="Credit Card"/>
    <x v="0"/>
    <s v="Basic"/>
    <d v="2024-04-03T00:00:00"/>
    <n v="2799.96"/>
    <d v="2026-01-14T00:00:00"/>
    <d v="2026-01-14T12:18:31"/>
    <n v="6"/>
    <n v="31"/>
    <s v="high-value"/>
  </r>
  <r>
    <s v="TRX0189"/>
    <x v="85"/>
    <s v="CUST040"/>
    <s v="Sharon Butler"/>
    <s v="P001"/>
    <x v="4"/>
    <x v="0"/>
    <n v="1"/>
    <n v="899.99"/>
    <s v="Credit Card"/>
    <x v="4"/>
    <s v="Standard"/>
    <d v="2024-03-18T00:00:00"/>
    <n v="899.99"/>
    <d v="2026-01-14T00:00:00"/>
    <d v="2026-01-14T12:18:31"/>
    <n v="6"/>
    <n v="31"/>
    <s v="normal"/>
  </r>
  <r>
    <s v="TRX0190"/>
    <x v="86"/>
    <s v="CUST039"/>
    <s v="Lawrence Reed"/>
    <s v="P003"/>
    <x v="3"/>
    <x v="0"/>
    <n v="2"/>
    <n v="149.99"/>
    <s v="Credit Card"/>
    <x v="3"/>
    <s v="Basic"/>
    <d v="2022-12-21T00:00:00"/>
    <n v="299.98"/>
    <d v="2026-01-14T00:00:00"/>
    <d v="2026-01-14T12:18:31"/>
    <n v="21"/>
    <n v="31"/>
    <s v="normal"/>
  </r>
  <r>
    <s v="TRX0079"/>
    <x v="87"/>
    <s v="CUST039"/>
    <s v="Lawrence Reed"/>
    <s v="P010"/>
    <x v="8"/>
    <x v="0"/>
    <n v="3"/>
    <n v="89.99"/>
    <s v="PayPal"/>
    <x v="0"/>
    <s v="Basic"/>
    <d v="2021-12-21T00:00:00"/>
    <n v="269.97000000000003"/>
    <d v="2026-01-14T00:00:00"/>
    <d v="2026-01-14T12:18:31"/>
    <n v="34"/>
    <n v="31"/>
    <s v="normal"/>
  </r>
  <r>
    <s v="TRX0095"/>
    <x v="88"/>
    <s v="CUST046"/>
    <s v="Kathleen Bennett"/>
    <s v="P003"/>
    <x v="3"/>
    <x v="0"/>
    <n v="2"/>
    <n v="149.99"/>
    <s v="PayPal"/>
    <x v="0"/>
    <s v="Basic"/>
    <d v="2021-10-04T00:00:00"/>
    <n v="299.98"/>
    <d v="2026-01-14T00:00:00"/>
    <d v="2026-01-14T12:18:31"/>
    <n v="36"/>
    <n v="31"/>
    <s v="normal"/>
  </r>
  <r>
    <s v="TRX0009"/>
    <x v="88"/>
    <s v="CUST004"/>
    <s v="Sarah Davis"/>
    <s v="P002"/>
    <x v="5"/>
    <x v="0"/>
    <n v="2"/>
    <n v="699.99"/>
    <s v="Cash"/>
    <x v="0"/>
    <s v="Basic"/>
    <d v="2023-03-07T00:00:00"/>
    <n v="1399.98"/>
    <d v="2026-01-14T00:00:00"/>
    <d v="2026-01-14T12:18:31"/>
    <n v="19"/>
    <n v="31"/>
    <s v="normal"/>
  </r>
  <r>
    <s v="TRX0167"/>
    <x v="89"/>
    <s v="CUST028"/>
    <s v="Betty Campbell"/>
    <s v="P002"/>
    <x v="5"/>
    <x v="0"/>
    <n v="5"/>
    <n v="699.99"/>
    <s v="Cash"/>
    <x v="2"/>
    <s v="Premium"/>
    <d v="2022-03-15T00:00:00"/>
    <n v="3499.95"/>
    <d v="2026-01-14T00:00:00"/>
    <d v="2026-01-14T12:18:31"/>
    <n v="31"/>
    <n v="31"/>
    <s v="high-value"/>
  </r>
  <r>
    <s v="TRX0153"/>
    <x v="90"/>
    <s v="CUST049"/>
    <s v="Raymond Ross"/>
    <s v="P010"/>
    <x v="8"/>
    <x v="0"/>
    <n v="3"/>
    <n v="89.99"/>
    <s v="Credit Card"/>
    <x v="2"/>
    <s v="Standard"/>
    <d v="2022-02-23T00:00:00"/>
    <n v="269.97000000000003"/>
    <d v="2026-01-14T00:00:00"/>
    <d v="2026-01-14T12:18:31"/>
    <n v="32"/>
    <n v="31"/>
    <s v="normal"/>
  </r>
  <r>
    <s v="TRX0057"/>
    <x v="91"/>
    <s v="CUST023"/>
    <s v="Paul Baker"/>
    <s v="P009"/>
    <x v="0"/>
    <x v="0"/>
    <n v="5"/>
    <n v="249.99"/>
    <s v="Credit Card"/>
    <x v="1"/>
    <s v="Standard"/>
    <d v="2022-11-16T00:00:00"/>
    <n v="1249.95"/>
    <d v="2026-01-14T00:00:00"/>
    <d v="2026-01-14T12:18:31"/>
    <n v="23"/>
    <n v="30"/>
    <s v="normal"/>
  </r>
  <r>
    <s v="TRX0017"/>
    <x v="92"/>
    <s v="CUST026"/>
    <s v="Karen Hill"/>
    <s v="P007"/>
    <x v="6"/>
    <x v="2"/>
    <n v="3"/>
    <n v="299.99"/>
    <s v="Credit Card"/>
    <x v="1"/>
    <s v="Standard"/>
    <d v="2021-11-02T00:00:00"/>
    <n v="899.97"/>
    <d v="2026-01-14T00:00:00"/>
    <d v="2026-01-14T12:18:31"/>
    <n v="36"/>
    <n v="30"/>
    <s v="normal"/>
  </r>
  <r>
    <s v="TRX0060"/>
    <x v="93"/>
    <s v="CUST012"/>
    <s v="Patricia Moore"/>
    <s v="P010"/>
    <x v="8"/>
    <x v="0"/>
    <n v="3"/>
    <n v="89.99"/>
    <s v="Credit Card"/>
    <x v="2"/>
    <s v="Premium"/>
    <d v="2021-08-12T00:00:00"/>
    <n v="269.97000000000003"/>
    <d v="2026-01-14T00:00:00"/>
    <d v="2026-01-14T12:18:31"/>
    <n v="38"/>
    <n v="30"/>
    <s v="normal"/>
  </r>
  <r>
    <s v="TRX0109"/>
    <x v="94"/>
    <s v="CUST010"/>
    <s v="Maria Garcia"/>
    <s v="P008"/>
    <x v="2"/>
    <x v="2"/>
    <n v="2"/>
    <n v="149.99"/>
    <s v="Credit Card"/>
    <x v="3"/>
    <s v="Premium"/>
    <d v="2022-10-14T00:00:00"/>
    <n v="299.98"/>
    <d v="2026-01-14T00:00:00"/>
    <d v="2026-01-14T12:18:31"/>
    <n v="24"/>
    <n v="30"/>
    <s v="normal"/>
  </r>
  <r>
    <s v="TRX0090"/>
    <x v="95"/>
    <s v="CUST020"/>
    <s v="Margaret Wright"/>
    <s v="P009"/>
    <x v="0"/>
    <x v="0"/>
    <n v="1"/>
    <n v="249.99"/>
    <s v="Credit Card"/>
    <x v="2"/>
    <s v="Premium"/>
    <d v="2022-09-24T00:00:00"/>
    <n v="249.99"/>
    <d v="2026-01-14T00:00:00"/>
    <d v="2026-01-14T12:18:31"/>
    <n v="25"/>
    <n v="30"/>
    <s v="normal"/>
  </r>
  <r>
    <s v="TRX0035"/>
    <x v="96"/>
    <s v="CUST041"/>
    <s v="Peter Richardson"/>
    <s v="P003"/>
    <x v="3"/>
    <x v="0"/>
    <n v="3"/>
    <n v="149.99"/>
    <s v="Cash"/>
    <x v="2"/>
    <s v="Basic"/>
    <d v="2022-07-27T00:00:00"/>
    <n v="449.97"/>
    <d v="2026-01-14T00:00:00"/>
    <d v="2026-01-14T12:18:31"/>
    <n v="27"/>
    <n v="30"/>
    <s v="normal"/>
  </r>
  <r>
    <s v="TRX0172"/>
    <x v="96"/>
    <s v="CUST023"/>
    <s v="Paul Baker"/>
    <s v="P005"/>
    <x v="1"/>
    <x v="1"/>
    <n v="5"/>
    <n v="59.99"/>
    <s v="PayPal"/>
    <x v="3"/>
    <s v="Premium"/>
    <d v="2022-05-13T00:00:00"/>
    <n v="299.95"/>
    <d v="2026-01-14T00:00:00"/>
    <d v="2026-01-14T12:18:31"/>
    <n v="29"/>
    <n v="30"/>
    <s v="normal"/>
  </r>
  <r>
    <s v="TRX0076"/>
    <x v="96"/>
    <s v="CUST012"/>
    <s v="Patricia Moore"/>
    <s v="P009"/>
    <x v="0"/>
    <x v="0"/>
    <n v="4"/>
    <n v="249.99"/>
    <s v="Credit Card"/>
    <x v="3"/>
    <s v="Standard"/>
    <d v="2022-04-08T00:00:00"/>
    <n v="999.96"/>
    <d v="2026-01-14T00:00:00"/>
    <d v="2026-01-14T12:18:31"/>
    <n v="31"/>
    <n v="30"/>
    <s v="normal"/>
  </r>
  <r>
    <s v="TRX0210"/>
    <x v="97"/>
    <s v="CUST004"/>
    <s v="Sarah Davis"/>
    <s v="P008"/>
    <x v="2"/>
    <x v="2"/>
    <n v="5"/>
    <n v="149.99"/>
    <s v="PayPal"/>
    <x v="0"/>
    <s v="Basic"/>
    <d v="2022-12-06T00:00:00"/>
    <n v="749.95"/>
    <d v="2026-01-14T00:00:00"/>
    <d v="2026-01-14T12:18:31"/>
    <n v="23"/>
    <n v="30"/>
    <s v="normal"/>
  </r>
  <r>
    <s v="TRX0149"/>
    <x v="97"/>
    <s v="CUST027"/>
    <s v="George Adams"/>
    <s v="P005"/>
    <x v="1"/>
    <x v="1"/>
    <n v="3"/>
    <n v="59.99"/>
    <s v="Debit Card"/>
    <x v="1"/>
    <s v="Standard"/>
    <d v="2023-11-30T00:00:00"/>
    <n v="179.97"/>
    <d v="2026-01-14T00:00:00"/>
    <d v="2026-01-14T12:18:31"/>
    <n v="11"/>
    <n v="30"/>
    <s v="normal"/>
  </r>
  <r>
    <s v="TRX0073"/>
    <x v="98"/>
    <s v="CUST032"/>
    <s v="Sandra Phillips"/>
    <s v="P008"/>
    <x v="2"/>
    <x v="2"/>
    <n v="5"/>
    <n v="149.99"/>
    <s v="Cash"/>
    <x v="2"/>
    <s v="Basic"/>
    <d v="2022-11-04T00:00:00"/>
    <n v="749.95"/>
    <d v="2026-01-14T00:00:00"/>
    <d v="2026-01-14T12:18:31"/>
    <n v="24"/>
    <n v="30"/>
    <s v="normal"/>
  </r>
  <r>
    <s v="TRX0033"/>
    <x v="98"/>
    <s v="CUST025"/>
    <s v="Mark Carter"/>
    <s v="P002"/>
    <x v="5"/>
    <x v="0"/>
    <n v="2"/>
    <n v="699.99"/>
    <s v="PayPal"/>
    <x v="3"/>
    <s v="Standard"/>
    <d v="2022-07-28T00:00:00"/>
    <n v="1399.98"/>
    <d v="2026-01-14T00:00:00"/>
    <d v="2026-01-14T12:18:31"/>
    <n v="27"/>
    <n v="30"/>
    <s v="normal"/>
  </r>
  <r>
    <s v="TRX0160"/>
    <x v="99"/>
    <s v="CUST029"/>
    <s v="Edward Mitchell"/>
    <s v="P006"/>
    <x v="9"/>
    <x v="2"/>
    <n v="4"/>
    <n v="199.99"/>
    <s v="Debit Card"/>
    <x v="0"/>
    <s v="Premium"/>
    <d v="2021-08-19T00:00:00"/>
    <n v="799.96"/>
    <d v="2026-01-14T00:00:00"/>
    <d v="2026-01-14T12:18:31"/>
    <n v="39"/>
    <n v="30"/>
    <s v="normal"/>
  </r>
  <r>
    <s v="TRX0145"/>
    <x v="100"/>
    <s v="CUST033"/>
    <s v="Frank Torres"/>
    <s v="P005"/>
    <x v="1"/>
    <x v="1"/>
    <n v="1"/>
    <n v="59.99"/>
    <s v="Debit Card"/>
    <x v="3"/>
    <s v="Standard"/>
    <d v="2021-12-30T00:00:00"/>
    <n v="59.99"/>
    <d v="2026-01-14T00:00:00"/>
    <d v="2026-01-14T12:18:31"/>
    <n v="34"/>
    <n v="30"/>
    <s v="normal"/>
  </r>
  <r>
    <s v="TRX0148"/>
    <x v="100"/>
    <s v="CUST004"/>
    <s v="Sarah Davis"/>
    <s v="P002"/>
    <x v="5"/>
    <x v="0"/>
    <n v="3"/>
    <n v="699.99"/>
    <s v="PayPal"/>
    <x v="3"/>
    <s v="Standard"/>
    <d v="2022-01-22T00:00:00"/>
    <n v="2099.9699999999998"/>
    <d v="2026-01-14T00:00:00"/>
    <d v="2026-01-14T12:18:31"/>
    <n v="34"/>
    <n v="30"/>
    <s v="high-value"/>
  </r>
  <r>
    <s v="TRX0012"/>
    <x v="101"/>
    <s v="CUST045"/>
    <s v="Douglas Watson"/>
    <s v="P009"/>
    <x v="0"/>
    <x v="0"/>
    <n v="5"/>
    <n v="249.99"/>
    <s v="Credit Card"/>
    <x v="2"/>
    <s v="Basic"/>
    <d v="2022-11-08T00:00:00"/>
    <n v="1249.95"/>
    <d v="2026-01-14T00:00:00"/>
    <d v="2026-01-14T12:18:31"/>
    <n v="24"/>
    <n v="30"/>
    <s v="normal"/>
  </r>
  <r>
    <s v="TRX0206"/>
    <x v="102"/>
    <s v="CUST014"/>
    <s v="Linda Martin"/>
    <s v="P008"/>
    <x v="2"/>
    <x v="2"/>
    <n v="2"/>
    <n v="149.99"/>
    <s v="Cash"/>
    <x v="1"/>
    <s v="Standard"/>
    <d v="2023-06-24T00:00:00"/>
    <n v="299.98"/>
    <d v="2026-01-14T00:00:00"/>
    <d v="2026-01-14T12:18:31"/>
    <n v="17"/>
    <n v="30"/>
    <s v="normal"/>
  </r>
  <r>
    <s v="TRX0045"/>
    <x v="103"/>
    <s v="CUST021"/>
    <s v="Kevin Scott"/>
    <s v="P007"/>
    <x v="6"/>
    <x v="2"/>
    <n v="3"/>
    <n v="299.99"/>
    <s v="Cash"/>
    <x v="1"/>
    <s v="Premium"/>
    <d v="2022-04-08T00:00:00"/>
    <n v="899.97"/>
    <d v="2026-01-14T00:00:00"/>
    <d v="2026-01-14T12:18:31"/>
    <n v="31"/>
    <n v="31"/>
    <s v="normal"/>
  </r>
  <r>
    <s v="TRX0094"/>
    <x v="103"/>
    <s v="CUST017"/>
    <s v="Charles Allen"/>
    <s v="P009"/>
    <x v="0"/>
    <x v="0"/>
    <n v="5"/>
    <n v="249.99"/>
    <s v="Cash"/>
    <x v="0"/>
    <s v="Premium"/>
    <d v="2021-10-16T00:00:00"/>
    <n v="1249.95"/>
    <d v="2026-01-14T00:00:00"/>
    <d v="2026-01-14T12:18:31"/>
    <n v="37"/>
    <n v="31"/>
    <s v="normal"/>
  </r>
  <r>
    <s v="TRX0133"/>
    <x v="103"/>
    <s v="CUST013"/>
    <s v="Joseph Jackson"/>
    <s v="P003"/>
    <x v="3"/>
    <x v="0"/>
    <n v="2"/>
    <n v="149.99"/>
    <s v="Cash"/>
    <x v="1"/>
    <s v="Premium"/>
    <d v="2021-10-06T00:00:00"/>
    <n v="299.98"/>
    <d v="2026-01-14T00:00:00"/>
    <d v="2026-01-14T12:18:31"/>
    <n v="37"/>
    <n v="31"/>
    <s v="normal"/>
  </r>
  <r>
    <s v="TRX0201"/>
    <x v="103"/>
    <s v="CUST025"/>
    <s v="Mark Carter"/>
    <s v="P002"/>
    <x v="5"/>
    <x v="0"/>
    <n v="5"/>
    <n v="699.99"/>
    <s v="Debit Card"/>
    <x v="3"/>
    <s v="Standard"/>
    <d v="2023-01-18T00:00:00"/>
    <n v="3499.95"/>
    <d v="2026-01-14T00:00:00"/>
    <d v="2026-01-14T12:18:31"/>
    <n v="22"/>
    <n v="31"/>
    <s v="high-value"/>
  </r>
  <r>
    <s v="TRX0137"/>
    <x v="104"/>
    <s v="CUST011"/>
    <s v="William White"/>
    <s v="P009"/>
    <x v="0"/>
    <x v="0"/>
    <n v="4"/>
    <n v="249.99"/>
    <s v="PayPal"/>
    <x v="4"/>
    <s v="Premium"/>
    <d v="2023-06-21T00:00:00"/>
    <n v="999.96"/>
    <d v="2026-01-14T00:00:00"/>
    <d v="2026-01-14T12:18:31"/>
    <n v="17"/>
    <n v="31"/>
    <s v="normal"/>
  </r>
  <r>
    <s v="TRX0066"/>
    <x v="105"/>
    <s v="CUST024"/>
    <s v="Dorothy Nelson"/>
    <s v="P002"/>
    <x v="5"/>
    <x v="0"/>
    <n v="4"/>
    <n v="699.99"/>
    <s v="Credit Card"/>
    <x v="2"/>
    <s v="Premium"/>
    <d v="2022-05-22T00:00:00"/>
    <n v="2799.96"/>
    <d v="2026-01-14T00:00:00"/>
    <d v="2026-01-14T12:18:31"/>
    <n v="30"/>
    <n v="31"/>
    <s v="high-value"/>
  </r>
  <r>
    <s v="TRX0180"/>
    <x v="106"/>
    <s v="CUST036"/>
    <s v="Nancy Collins"/>
    <s v="P009"/>
    <x v="0"/>
    <x v="0"/>
    <n v="2"/>
    <n v="249.99"/>
    <s v="Credit Card"/>
    <x v="0"/>
    <s v="Premium"/>
    <d v="2021-07-19T00:00:00"/>
    <n v="499.98"/>
    <d v="2026-01-14T00:00:00"/>
    <d v="2026-01-14T12:18:31"/>
    <n v="40"/>
    <n v="31"/>
    <s v="normal"/>
  </r>
  <r>
    <s v="TRX0082"/>
    <x v="106"/>
    <s v="CUST005"/>
    <s v="James Johnson"/>
    <s v="P005"/>
    <x v="1"/>
    <x v="1"/>
    <n v="3"/>
    <n v="59.99"/>
    <s v="Cash"/>
    <x v="0"/>
    <s v="Premium"/>
    <d v="2023-05-06T00:00:00"/>
    <n v="179.97"/>
    <d v="2026-01-14T00:00:00"/>
    <d v="2026-01-14T12:18:31"/>
    <n v="19"/>
    <n v="31"/>
    <s v="normal"/>
  </r>
  <r>
    <s v="TRX0036"/>
    <x v="106"/>
    <s v="CUST008"/>
    <s v="Jennifer Taylor"/>
    <s v="P004"/>
    <x v="7"/>
    <x v="1"/>
    <n v="4"/>
    <n v="79.989999999999995"/>
    <s v="Debit Card"/>
    <x v="4"/>
    <s v="Standard"/>
    <d v="2022-12-26T00:00:00"/>
    <n v="319.95999999999998"/>
    <d v="2026-01-14T00:00:00"/>
    <d v="2026-01-14T12:18:31"/>
    <n v="23"/>
    <n v="31"/>
    <s v="normal"/>
  </r>
  <r>
    <s v="TRX0198"/>
    <x v="107"/>
    <s v="CUST030"/>
    <s v="Helen Roberts"/>
    <s v="P004"/>
    <x v="7"/>
    <x v="1"/>
    <n v="3"/>
    <n v="79.989999999999995"/>
    <s v="Debit Card"/>
    <x v="4"/>
    <s v="Standard"/>
    <d v="2022-08-06T00:00:00"/>
    <n v="239.97"/>
    <d v="2026-01-14T00:00:00"/>
    <d v="2026-01-14T12:18:31"/>
    <n v="28"/>
    <n v="31"/>
    <s v="normal"/>
  </r>
  <r>
    <s v="TRX0032"/>
    <x v="108"/>
    <s v="CUST041"/>
    <s v="Peter Richardson"/>
    <s v="P001"/>
    <x v="4"/>
    <x v="0"/>
    <n v="2"/>
    <n v="899.99"/>
    <s v="Cash"/>
    <x v="2"/>
    <s v="Basic"/>
    <d v="2021-07-29T00:00:00"/>
    <n v="1799.98"/>
    <d v="2026-01-14T00:00:00"/>
    <d v="2026-01-14T12:18:31"/>
    <n v="40"/>
    <n v="31"/>
    <s v="normal"/>
  </r>
  <r>
    <s v="TRX0081"/>
    <x v="109"/>
    <s v="CUST007"/>
    <s v="David Martinez"/>
    <s v="P008"/>
    <x v="2"/>
    <x v="2"/>
    <n v="1"/>
    <n v="149.99"/>
    <s v="Debit Card"/>
    <x v="4"/>
    <s v="Standard"/>
    <d v="2023-10-01T00:00:00"/>
    <n v="149.99"/>
    <d v="2026-01-14T00:00:00"/>
    <d v="2026-01-14T12:18:31"/>
    <n v="14"/>
    <n v="31"/>
    <s v="normal"/>
  </r>
  <r>
    <s v="TRX0224"/>
    <x v="109"/>
    <s v="CUST031"/>
    <s v="Steven Turner"/>
    <s v="P007"/>
    <x v="6"/>
    <x v="2"/>
    <n v="2"/>
    <n v="299.99"/>
    <s v="Cash"/>
    <x v="4"/>
    <s v="Premium"/>
    <d v="2022-06-12T00:00:00"/>
    <n v="599.98"/>
    <d v="2026-01-14T00:00:00"/>
    <d v="2026-01-14T12:18:31"/>
    <n v="30"/>
    <n v="31"/>
    <s v="normal"/>
  </r>
  <r>
    <s v="TRX0028"/>
    <x v="110"/>
    <s v="CUST002"/>
    <s v="Emma Wilson"/>
    <s v="P005"/>
    <x v="1"/>
    <x v="1"/>
    <n v="2"/>
    <n v="59.99"/>
    <s v="Cash"/>
    <x v="3"/>
    <s v="Basic"/>
    <d v="2023-09-22T00:00:00"/>
    <n v="119.98"/>
    <d v="2026-01-14T00:00:00"/>
    <d v="2026-01-14T12:18:31"/>
    <n v="14"/>
    <n v="31"/>
    <s v="normal"/>
  </r>
  <r>
    <s v="TRX0183"/>
    <x v="111"/>
    <s v="CUST007"/>
    <s v="David Martinez"/>
    <s v="P010"/>
    <x v="8"/>
    <x v="0"/>
    <n v="1"/>
    <n v="89.99"/>
    <s v="Debit Card"/>
    <x v="0"/>
    <s v="Standard"/>
    <d v="2022-07-18T00:00:00"/>
    <n v="89.99"/>
    <d v="2026-01-14T00:00:00"/>
    <d v="2026-01-14T12:18:31"/>
    <n v="29"/>
    <n v="31"/>
    <s v="normal"/>
  </r>
  <r>
    <s v="TRX0163"/>
    <x v="111"/>
    <s v="CUST019"/>
    <s v="Daniel King"/>
    <s v="P001"/>
    <x v="4"/>
    <x v="0"/>
    <n v="5"/>
    <n v="899.99"/>
    <s v="Debit Card"/>
    <x v="4"/>
    <s v="Standard"/>
    <d v="2022-03-05T00:00:00"/>
    <n v="4499.95"/>
    <d v="2026-01-14T00:00:00"/>
    <d v="2026-01-14T12:18:31"/>
    <n v="33"/>
    <n v="31"/>
    <s v="high-value"/>
  </r>
  <r>
    <s v="TRX0046"/>
    <x v="112"/>
    <s v="CUST003"/>
    <s v="Michael Brown"/>
    <s v="P008"/>
    <x v="2"/>
    <x v="2"/>
    <n v="2"/>
    <n v="149.99"/>
    <s v="Cash"/>
    <x v="1"/>
    <s v="Basic"/>
    <d v="2023-11-09T00:00:00"/>
    <n v="299.98"/>
    <d v="2026-01-14T00:00:00"/>
    <d v="2026-01-14T12:18:31"/>
    <n v="13"/>
    <n v="31"/>
    <s v="normal"/>
  </r>
  <r>
    <s v="TRX0164"/>
    <x v="113"/>
    <s v="CUST014"/>
    <s v="Linda Martin"/>
    <s v="P003"/>
    <x v="3"/>
    <x v="0"/>
    <n v="2"/>
    <n v="149.99"/>
    <s v="Debit Card"/>
    <x v="3"/>
    <s v="Premium"/>
    <d v="2023-12-20T00:00:00"/>
    <n v="299.98"/>
    <d v="2026-01-14T00:00:00"/>
    <d v="2026-01-14T12:18:31"/>
    <n v="12"/>
    <n v="31"/>
    <s v="normal"/>
  </r>
  <r>
    <s v="TRX0008"/>
    <x v="113"/>
    <s v="CUST007"/>
    <s v="David Martinez"/>
    <s v="P008"/>
    <x v="2"/>
    <x v="2"/>
    <n v="3"/>
    <n v="149.99"/>
    <s v="Debit Card"/>
    <x v="2"/>
    <s v="Standard"/>
    <d v="2021-11-22T00:00:00"/>
    <n v="449.97"/>
    <d v="2026-01-14T00:00:00"/>
    <d v="2026-01-14T12:18:31"/>
    <n v="37"/>
    <n v="31"/>
    <s v="normal"/>
  </r>
  <r>
    <s v="TRX0171"/>
    <x v="114"/>
    <s v="CUST021"/>
    <s v="Kevin Scott"/>
    <s v="P007"/>
    <x v="6"/>
    <x v="2"/>
    <n v="2"/>
    <n v="299.99"/>
    <s v="PayPal"/>
    <x v="1"/>
    <s v="Basic"/>
    <d v="2022-06-09T00:00:00"/>
    <n v="599.98"/>
    <d v="2026-01-14T00:00:00"/>
    <d v="2026-01-14T12:18:31"/>
    <n v="30"/>
    <n v="31"/>
    <s v="normal"/>
  </r>
  <r>
    <s v="TRX0143"/>
    <x v="115"/>
    <s v="CUST003"/>
    <s v="Michael Brown"/>
    <s v="P007"/>
    <x v="6"/>
    <x v="2"/>
    <n v="2"/>
    <n v="299.99"/>
    <s v="Cash"/>
    <x v="3"/>
    <s v="Basic"/>
    <d v="2022-07-29T00:00:00"/>
    <n v="599.98"/>
    <d v="2026-01-14T00:00:00"/>
    <d v="2026-01-14T12:18:31"/>
    <n v="28"/>
    <n v="31"/>
    <s v="normal"/>
  </r>
  <r>
    <s v="TRX0165"/>
    <x v="115"/>
    <s v="CUST030"/>
    <s v="Helen Roberts"/>
    <s v="P006"/>
    <x v="9"/>
    <x v="2"/>
    <n v="4"/>
    <n v="199.99"/>
    <s v="Credit Card"/>
    <x v="0"/>
    <s v="Basic"/>
    <d v="2021-11-23T00:00:00"/>
    <n v="799.96"/>
    <d v="2026-01-14T00:00:00"/>
    <d v="2026-01-14T12:18:31"/>
    <n v="37"/>
    <n v="31"/>
    <s v="normal"/>
  </r>
  <r>
    <s v="TRX0156"/>
    <x v="116"/>
    <s v="CUST009"/>
    <s v="Robert Thomas"/>
    <s v="P010"/>
    <x v="8"/>
    <x v="0"/>
    <n v="1"/>
    <n v="89.99"/>
    <s v="Credit Card"/>
    <x v="1"/>
    <s v="Premium"/>
    <d v="2022-01-30T00:00:00"/>
    <n v="89.99"/>
    <d v="2026-01-14T00:00:00"/>
    <d v="2026-01-14T12:18:31"/>
    <n v="34"/>
    <n v="31"/>
    <s v="normal"/>
  </r>
  <r>
    <s v="TRX0147"/>
    <x v="116"/>
    <s v="CUST036"/>
    <s v="Nancy Collins"/>
    <s v="P008"/>
    <x v="2"/>
    <x v="2"/>
    <n v="5"/>
    <n v="149.99"/>
    <s v="Cash"/>
    <x v="0"/>
    <s v="Premium"/>
    <d v="2024-02-25T00:00:00"/>
    <n v="749.95"/>
    <d v="2026-01-14T00:00:00"/>
    <d v="2026-01-14T12:18:31"/>
    <n v="10"/>
    <n v="31"/>
    <s v="normal"/>
  </r>
  <r>
    <s v="TRX0207"/>
    <x v="117"/>
    <s v="CUST025"/>
    <s v="Mark Carter"/>
    <s v="P001"/>
    <x v="4"/>
    <x v="0"/>
    <n v="1"/>
    <n v="899.99"/>
    <s v="PayPal"/>
    <x v="2"/>
    <s v="Premium"/>
    <d v="2023-05-04T00:00:00"/>
    <n v="899.99"/>
    <d v="2026-01-14T00:00:00"/>
    <d v="2026-01-14T12:18:31"/>
    <n v="19"/>
    <n v="31"/>
    <s v="normal"/>
  </r>
  <r>
    <s v="TRX0056"/>
    <x v="118"/>
    <s v="CUST019"/>
    <s v="Daniel King"/>
    <s v="P010"/>
    <x v="8"/>
    <x v="0"/>
    <n v="2"/>
    <n v="89.99"/>
    <s v="Credit Card"/>
    <x v="1"/>
    <s v="Premium"/>
    <d v="2022-01-03T00:00:00"/>
    <n v="179.98"/>
    <d v="2026-01-14T00:00:00"/>
    <d v="2026-01-14T12:18:31"/>
    <n v="36"/>
    <n v="31"/>
    <s v="normal"/>
  </r>
  <r>
    <s v="TRX0026"/>
    <x v="119"/>
    <s v="CUST037"/>
    <s v="Arthur Edwards"/>
    <s v="P001"/>
    <x v="4"/>
    <x v="0"/>
    <n v="1"/>
    <n v="899.99"/>
    <s v="PayPal"/>
    <x v="2"/>
    <s v="Standard"/>
    <d v="2022-07-10T00:00:00"/>
    <n v="899.99"/>
    <d v="2026-01-14T00:00:00"/>
    <d v="2026-01-14T12:18:31"/>
    <n v="29"/>
    <n v="31"/>
    <s v="normal"/>
  </r>
  <r>
    <s v="TRX0237"/>
    <x v="120"/>
    <s v="CUST006"/>
    <s v="Lisa Anderson"/>
    <s v="P003"/>
    <x v="3"/>
    <x v="0"/>
    <n v="5"/>
    <n v="149.99"/>
    <s v="PayPal"/>
    <x v="4"/>
    <s v="Premium"/>
    <d v="2022-09-20T00:00:00"/>
    <n v="749.95"/>
    <d v="2026-01-14T00:00:00"/>
    <d v="2026-01-14T12:18:31"/>
    <n v="27"/>
    <n v="31"/>
    <s v="normal"/>
  </r>
  <r>
    <s v="TRX0091"/>
    <x v="120"/>
    <s v="CUST003"/>
    <s v="Michael Brown"/>
    <s v="P007"/>
    <x v="6"/>
    <x v="2"/>
    <n v="3"/>
    <n v="299.99"/>
    <s v="Cash"/>
    <x v="1"/>
    <s v="Standard"/>
    <d v="2021-08-14T00:00:00"/>
    <n v="899.97"/>
    <d v="2026-01-14T00:00:00"/>
    <d v="2026-01-14T12:18:31"/>
    <n v="40"/>
    <n v="31"/>
    <s v="normal"/>
  </r>
  <r>
    <s v="TRX0125"/>
    <x v="121"/>
    <s v="CUST026"/>
    <s v="Karen Hill"/>
    <s v="P002"/>
    <x v="5"/>
    <x v="0"/>
    <n v="3"/>
    <n v="699.99"/>
    <s v="Credit Card"/>
    <x v="0"/>
    <s v="Premium"/>
    <d v="2023-06-28T00:00:00"/>
    <n v="2099.9699999999998"/>
    <d v="2026-01-14T00:00:00"/>
    <d v="2026-01-14T12:18:31"/>
    <n v="18"/>
    <n v="31"/>
    <s v="high-value"/>
  </r>
  <r>
    <s v="TRX0223"/>
    <x v="122"/>
    <s v="CUST036"/>
    <s v="Nancy Collins"/>
    <s v="P006"/>
    <x v="9"/>
    <x v="2"/>
    <n v="5"/>
    <n v="199.99"/>
    <s v="PayPal"/>
    <x v="0"/>
    <s v="Standard"/>
    <d v="2022-03-13T00:00:00"/>
    <n v="999.95"/>
    <d v="2026-01-14T00:00:00"/>
    <d v="2026-01-14T12:18:31"/>
    <n v="33"/>
    <n v="31"/>
    <s v="normal"/>
  </r>
  <r>
    <s v="TRX0243"/>
    <x v="122"/>
    <s v="CUST048"/>
    <s v="Virginia Sanders"/>
    <s v="P009"/>
    <x v="0"/>
    <x v="0"/>
    <n v="5"/>
    <n v="249.99"/>
    <s v="Credit Card"/>
    <x v="1"/>
    <s v="Basic"/>
    <d v="2024-02-08T00:00:00"/>
    <n v="1249.95"/>
    <d v="2026-01-14T00:00:00"/>
    <d v="2026-01-14T12:18:31"/>
    <n v="11"/>
    <n v="31"/>
    <s v="normal"/>
  </r>
  <r>
    <s v="TRX0084"/>
    <x v="123"/>
    <s v="CUST031"/>
    <s v="Steven Turner"/>
    <s v="P003"/>
    <x v="3"/>
    <x v="0"/>
    <n v="4"/>
    <n v="149.99"/>
    <s v="Debit Card"/>
    <x v="4"/>
    <s v="Standard"/>
    <d v="2021-12-06T00:00:00"/>
    <n v="599.96"/>
    <d v="2026-01-14T00:00:00"/>
    <d v="2026-01-14T12:18:31"/>
    <n v="37"/>
    <n v="31"/>
    <s v="normal"/>
  </r>
  <r>
    <s v="TRX0238"/>
    <x v="123"/>
    <s v="CUST038"/>
    <s v="Michelle Rogers"/>
    <s v="P002"/>
    <x v="5"/>
    <x v="0"/>
    <n v="3"/>
    <n v="699.99"/>
    <s v="Cash"/>
    <x v="2"/>
    <s v="Premium"/>
    <d v="2022-02-10T00:00:00"/>
    <n v="2099.9699999999998"/>
    <d v="2026-01-14T00:00:00"/>
    <d v="2026-01-14T12:18:31"/>
    <n v="35"/>
    <n v="31"/>
    <s v="high-value"/>
  </r>
  <r>
    <s v="TRX0102"/>
    <x v="124"/>
    <s v="CUST045"/>
    <s v="Douglas Watson"/>
    <s v="P004"/>
    <x v="7"/>
    <x v="1"/>
    <n v="1"/>
    <n v="79.989999999999995"/>
    <s v="Credit Card"/>
    <x v="1"/>
    <s v="Basic"/>
    <d v="2024-01-31T00:00:00"/>
    <n v="79.989999999999995"/>
    <d v="2026-01-14T00:00:00"/>
    <d v="2026-01-14T12:18:31"/>
    <n v="11"/>
    <n v="31"/>
    <s v="normal"/>
  </r>
  <r>
    <s v="TRX0022"/>
    <x v="124"/>
    <s v="CUST025"/>
    <s v="Mark Carter"/>
    <s v="P007"/>
    <x v="6"/>
    <x v="2"/>
    <n v="1"/>
    <n v="299.99"/>
    <s v="Credit Card"/>
    <x v="2"/>
    <s v="Basic"/>
    <d v="2021-08-28T00:00:00"/>
    <n v="299.99"/>
    <d v="2026-01-14T00:00:00"/>
    <d v="2026-01-14T12:18:31"/>
    <n v="40"/>
    <n v="31"/>
    <s v="normal"/>
  </r>
  <r>
    <s v="TRX0087"/>
    <x v="125"/>
    <s v="CUST028"/>
    <s v="Betty Campbell"/>
    <s v="P009"/>
    <x v="0"/>
    <x v="0"/>
    <n v="4"/>
    <n v="249.99"/>
    <s v="Credit Card"/>
    <x v="2"/>
    <s v="Premium"/>
    <d v="2021-09-21T00:00:00"/>
    <n v="999.96"/>
    <d v="2026-01-14T00:00:00"/>
    <d v="2026-01-14T12:18:31"/>
    <n v="39"/>
    <n v="31"/>
    <s v="normal"/>
  </r>
  <r>
    <s v="TRX0107"/>
    <x v="125"/>
    <s v="CUST030"/>
    <s v="Helen Roberts"/>
    <s v="P003"/>
    <x v="3"/>
    <x v="0"/>
    <n v="2"/>
    <n v="149.99"/>
    <s v="Cash"/>
    <x v="2"/>
    <s v="Standard"/>
    <d v="2022-12-18T00:00:00"/>
    <n v="299.98"/>
    <d v="2026-01-14T00:00:00"/>
    <d v="2026-01-14T12:18:31"/>
    <n v="24"/>
    <n v="31"/>
    <s v="normal"/>
  </r>
  <r>
    <s v="TRX0051"/>
    <x v="125"/>
    <s v="CUST032"/>
    <s v="Sandra Phillips"/>
    <s v="P007"/>
    <x v="6"/>
    <x v="2"/>
    <n v="3"/>
    <n v="299.99"/>
    <s v="Credit Card"/>
    <x v="1"/>
    <s v="Basic"/>
    <d v="2023-10-05T00:00:00"/>
    <n v="899.97"/>
    <d v="2026-01-14T00:00:00"/>
    <d v="2026-01-14T12:18:31"/>
    <n v="15"/>
    <n v="31"/>
    <s v="normal"/>
  </r>
  <r>
    <s v="TRX0106"/>
    <x v="126"/>
    <s v="CUST039"/>
    <s v="Lawrence Reed"/>
    <s v="P006"/>
    <x v="9"/>
    <x v="2"/>
    <n v="4"/>
    <n v="199.99"/>
    <s v="Debit Card"/>
    <x v="1"/>
    <s v="Standard"/>
    <d v="2021-12-14T00:00:00"/>
    <n v="799.96"/>
    <d v="2026-01-14T00:00:00"/>
    <d v="2026-01-14T12:18:31"/>
    <n v="37"/>
    <n v="31"/>
    <s v="normal"/>
  </r>
  <r>
    <s v="TRX0059"/>
    <x v="126"/>
    <s v="CUST016"/>
    <s v="Elizabeth Hall"/>
    <s v="P007"/>
    <x v="6"/>
    <x v="2"/>
    <n v="5"/>
    <n v="299.99"/>
    <s v="Debit Card"/>
    <x v="0"/>
    <s v="Basic"/>
    <d v="2021-08-23T00:00:00"/>
    <n v="1499.95"/>
    <d v="2026-01-14T00:00:00"/>
    <d v="2026-01-14T12:18:31"/>
    <n v="40"/>
    <n v="31"/>
    <s v="normal"/>
  </r>
  <r>
    <s v="TRX0072"/>
    <x v="126"/>
    <s v="CUST009"/>
    <s v="Robert Thomas"/>
    <s v="P008"/>
    <x v="2"/>
    <x v="2"/>
    <n v="3"/>
    <n v="149.99"/>
    <s v="Credit Card"/>
    <x v="4"/>
    <s v="Standard"/>
    <d v="2021-07-18T00:00:00"/>
    <n v="449.97"/>
    <d v="2026-01-14T00:00:00"/>
    <d v="2026-01-14T12:18:31"/>
    <n v="41"/>
    <n v="31"/>
    <s v="normal"/>
  </r>
  <r>
    <s v="TRX0110"/>
    <x v="127"/>
    <s v="CUST006"/>
    <s v="Lisa Anderson"/>
    <s v="P005"/>
    <x v="1"/>
    <x v="1"/>
    <n v="5"/>
    <n v="59.99"/>
    <s v="Debit Card"/>
    <x v="4"/>
    <s v="Basic"/>
    <d v="2022-03-22T00:00:00"/>
    <n v="299.95"/>
    <d v="2026-01-14T00:00:00"/>
    <d v="2026-01-14T12:18:31"/>
    <n v="33"/>
    <n v="31"/>
    <s v="normal"/>
  </r>
  <r>
    <s v="TRX0126"/>
    <x v="128"/>
    <s v="CUST022"/>
    <s v="Susan Green"/>
    <s v="P005"/>
    <x v="1"/>
    <x v="1"/>
    <n v="4"/>
    <n v="59.99"/>
    <s v="Debit Card"/>
    <x v="4"/>
    <s v="Standard"/>
    <d v="2022-01-03T00:00:00"/>
    <n v="239.96"/>
    <d v="2026-01-14T00:00:00"/>
    <d v="2026-01-14T12:18:31"/>
    <n v="36"/>
    <n v="31"/>
    <s v="normal"/>
  </r>
  <r>
    <s v="TRX0159"/>
    <x v="129"/>
    <s v="CUST024"/>
    <s v="Dorothy Nelson"/>
    <s v="P009"/>
    <x v="0"/>
    <x v="0"/>
    <n v="4"/>
    <n v="249.99"/>
    <s v="Debit Card"/>
    <x v="0"/>
    <s v="Premium"/>
    <d v="2023-10-18T00:00:00"/>
    <n v="999.96"/>
    <d v="2026-01-14T00:00:00"/>
    <d v="2026-01-14T12:18:31"/>
    <n v="15"/>
    <n v="31"/>
    <s v="normal"/>
  </r>
  <r>
    <s v="TRX0030"/>
    <x v="130"/>
    <s v="CUST011"/>
    <s v="William White"/>
    <s v="P001"/>
    <x v="4"/>
    <x v="0"/>
    <n v="4"/>
    <n v="899.99"/>
    <s v="PayPal"/>
    <x v="0"/>
    <s v="Basic"/>
    <d v="2022-06-22T00:00:00"/>
    <n v="3599.96"/>
    <d v="2026-01-14T00:00:00"/>
    <d v="2026-01-14T12:18:31"/>
    <n v="31"/>
    <n v="31"/>
    <s v="high-value"/>
  </r>
  <r>
    <s v="TRX0178"/>
    <x v="130"/>
    <s v="CUST025"/>
    <s v="Mark Carter"/>
    <s v="P007"/>
    <x v="6"/>
    <x v="2"/>
    <n v="3"/>
    <n v="299.99"/>
    <s v="Debit Card"/>
    <x v="3"/>
    <s v="Standard"/>
    <d v="2023-01-26T00:00:00"/>
    <n v="899.97"/>
    <d v="2026-01-14T00:00:00"/>
    <d v="2026-01-14T12:18:31"/>
    <n v="24"/>
    <n v="31"/>
    <s v="normal"/>
  </r>
  <r>
    <s v="TRX0188"/>
    <x v="130"/>
    <s v="CUST045"/>
    <s v="Douglas Watson"/>
    <s v="P002"/>
    <x v="5"/>
    <x v="0"/>
    <n v="2"/>
    <n v="699.99"/>
    <s v="Debit Card"/>
    <x v="0"/>
    <s v="Premium"/>
    <d v="2022-04-30T00:00:00"/>
    <n v="1399.98"/>
    <d v="2026-01-14T00:00:00"/>
    <d v="2026-01-14T12:18:31"/>
    <n v="32"/>
    <n v="31"/>
    <s v="normal"/>
  </r>
  <r>
    <s v="TRX0010"/>
    <x v="131"/>
    <s v="CUST026"/>
    <s v="Karen Hill"/>
    <s v="P002"/>
    <x v="5"/>
    <x v="0"/>
    <n v="4"/>
    <n v="699.99"/>
    <s v="Debit Card"/>
    <x v="3"/>
    <s v="Premium"/>
    <d v="2022-05-11T00:00:00"/>
    <n v="2799.96"/>
    <d v="2026-01-14T00:00:00"/>
    <d v="2026-01-14T12:18:31"/>
    <n v="32"/>
    <n v="31"/>
    <s v="high-value"/>
  </r>
  <r>
    <s v="TRX0069"/>
    <x v="131"/>
    <s v="CUST029"/>
    <s v="Edward Mitchell"/>
    <s v="P010"/>
    <x v="8"/>
    <x v="0"/>
    <n v="2"/>
    <n v="89.99"/>
    <s v="Debit Card"/>
    <x v="1"/>
    <s v="Basic"/>
    <d v="2022-08-04T00:00:00"/>
    <n v="179.98"/>
    <d v="2026-01-14T00:00:00"/>
    <d v="2026-01-14T12:18:31"/>
    <n v="29"/>
    <n v="31"/>
    <s v="normal"/>
  </r>
  <r>
    <s v="TRX0166"/>
    <x v="131"/>
    <s v="CUST003"/>
    <s v="Michael Brown"/>
    <s v="P010"/>
    <x v="8"/>
    <x v="0"/>
    <n v="3"/>
    <n v="89.99"/>
    <s v="Debit Card"/>
    <x v="1"/>
    <s v="Premium"/>
    <d v="2024-01-16T00:00:00"/>
    <n v="269.97000000000003"/>
    <d v="2026-01-14T00:00:00"/>
    <d v="2026-01-14T12:18:31"/>
    <n v="12"/>
    <n v="31"/>
    <s v="normal"/>
  </r>
  <r>
    <s v="TRX0219"/>
    <x v="132"/>
    <s v="CUST037"/>
    <s v="Arthur Edwards"/>
    <s v="P005"/>
    <x v="1"/>
    <x v="1"/>
    <n v="1"/>
    <n v="59.99"/>
    <s v="Debit Card"/>
    <x v="0"/>
    <s v="Standard"/>
    <d v="2023-04-29T00:00:00"/>
    <n v="59.99"/>
    <d v="2026-01-14T00:00:00"/>
    <d v="2026-01-14T12:18:31"/>
    <n v="21"/>
    <n v="28"/>
    <s v="normal"/>
  </r>
  <r>
    <s v="TRX0024"/>
    <x v="133"/>
    <s v="CUST042"/>
    <s v="Ruth Brooks"/>
    <s v="P008"/>
    <x v="2"/>
    <x v="2"/>
    <n v="3"/>
    <n v="149.99"/>
    <s v="Debit Card"/>
    <x v="2"/>
    <s v="Premium"/>
    <d v="2022-01-03T00:00:00"/>
    <n v="449.97"/>
    <d v="2026-01-14T00:00:00"/>
    <d v="2026-01-14T12:18:31"/>
    <n v="37"/>
    <n v="28"/>
    <s v="normal"/>
  </r>
  <r>
    <s v="TRX0105"/>
    <x v="133"/>
    <s v="CUST048"/>
    <s v="Virginia Sanders"/>
    <s v="P007"/>
    <x v="6"/>
    <x v="2"/>
    <n v="5"/>
    <n v="299.99"/>
    <s v="Credit Card"/>
    <x v="1"/>
    <s v="Basic"/>
    <d v="2023-02-02T00:00:00"/>
    <n v="1499.95"/>
    <d v="2026-01-14T00:00:00"/>
    <d v="2026-01-14T12:18:31"/>
    <n v="24"/>
    <n v="28"/>
    <s v="normal"/>
  </r>
  <r>
    <s v="TRX0011"/>
    <x v="134"/>
    <s v="CUST040"/>
    <s v="Sharon Butler"/>
    <s v="P005"/>
    <x v="1"/>
    <x v="1"/>
    <n v="5"/>
    <n v="59.99"/>
    <s v="Debit Card"/>
    <x v="0"/>
    <s v="Standard"/>
    <d v="2023-09-08T00:00:00"/>
    <n v="299.95"/>
    <d v="2026-01-14T00:00:00"/>
    <d v="2026-01-14T12:18:31"/>
    <n v="17"/>
    <n v="28"/>
    <s v="normal"/>
  </r>
  <r>
    <s v="TRX0187"/>
    <x v="135"/>
    <s v="CUST036"/>
    <s v="Nancy Collins"/>
    <s v="P004"/>
    <x v="7"/>
    <x v="1"/>
    <n v="3"/>
    <n v="79.989999999999995"/>
    <s v="Cash"/>
    <x v="4"/>
    <s v="Premium"/>
    <d v="2021-08-28T00:00:00"/>
    <n v="239.97"/>
    <d v="2026-01-14T00:00:00"/>
    <d v="2026-01-14T12:18:31"/>
    <n v="41"/>
    <n v="28"/>
    <s v="normal"/>
  </r>
  <r>
    <s v="TRX0089"/>
    <x v="136"/>
    <s v="CUST021"/>
    <s v="Kevin Scott"/>
    <s v="P006"/>
    <x v="9"/>
    <x v="2"/>
    <n v="3"/>
    <n v="199.99"/>
    <s v="Cash"/>
    <x v="0"/>
    <s v="Basic"/>
    <d v="2022-06-23T00:00:00"/>
    <n v="599.97"/>
    <d v="2026-01-14T00:00:00"/>
    <d v="2026-01-14T12:18:31"/>
    <n v="31"/>
    <n v="28"/>
    <s v="normal"/>
  </r>
  <r>
    <s v="TRX0196"/>
    <x v="136"/>
    <s v="CUST023"/>
    <s v="Paul Baker"/>
    <s v="P010"/>
    <x v="8"/>
    <x v="0"/>
    <n v="2"/>
    <n v="89.99"/>
    <s v="PayPal"/>
    <x v="0"/>
    <s v="Basic"/>
    <d v="2023-11-27T00:00:00"/>
    <n v="179.98"/>
    <d v="2026-01-14T00:00:00"/>
    <d v="2026-01-14T12:18:31"/>
    <n v="14"/>
    <n v="28"/>
    <s v="normal"/>
  </r>
  <r>
    <s v="TRX0118"/>
    <x v="137"/>
    <s v="CUST015"/>
    <s v="Richard Lee"/>
    <s v="P008"/>
    <x v="2"/>
    <x v="2"/>
    <n v="2"/>
    <n v="149.99"/>
    <s v="Cash"/>
    <x v="1"/>
    <s v="Premium"/>
    <d v="2022-06-16T00:00:00"/>
    <n v="299.98"/>
    <d v="2026-01-14T00:00:00"/>
    <d v="2026-01-14T12:18:31"/>
    <n v="32"/>
    <n v="28"/>
    <s v="normal"/>
  </r>
  <r>
    <s v="TRX0179"/>
    <x v="138"/>
    <s v="CUST029"/>
    <s v="Edward Mitchell"/>
    <s v="P002"/>
    <x v="5"/>
    <x v="0"/>
    <n v="5"/>
    <n v="699.99"/>
    <s v="PayPal"/>
    <x v="1"/>
    <s v="Premium"/>
    <d v="2024-03-01T00:00:00"/>
    <n v="3499.95"/>
    <d v="2026-01-14T00:00:00"/>
    <d v="2026-01-14T12:18:31"/>
    <n v="11"/>
    <n v="28"/>
    <s v="high-value"/>
  </r>
  <r>
    <s v="TRX0168"/>
    <x v="138"/>
    <s v="CUST003"/>
    <s v="Michael Brown"/>
    <s v="P008"/>
    <x v="2"/>
    <x v="2"/>
    <n v="3"/>
    <n v="149.99"/>
    <s v="PayPal"/>
    <x v="0"/>
    <s v="Standard"/>
    <d v="2022-03-13T00:00:00"/>
    <n v="449.97"/>
    <d v="2026-01-14T00:00:00"/>
    <d v="2026-01-14T12:18:31"/>
    <n v="35"/>
    <n v="28"/>
    <s v="normal"/>
  </r>
  <r>
    <s v="TRX0214"/>
    <x v="139"/>
    <s v="CUST018"/>
    <s v="Barbara Young"/>
    <s v="P001"/>
    <x v="4"/>
    <x v="0"/>
    <n v="3"/>
    <n v="899.99"/>
    <s v="Cash"/>
    <x v="4"/>
    <s v="Standard"/>
    <d v="2022-02-21T00:00:00"/>
    <n v="2699.97"/>
    <d v="2026-01-14T00:00:00"/>
    <d v="2026-01-14T12:18:31"/>
    <n v="35"/>
    <n v="28"/>
    <s v="high-value"/>
  </r>
  <r>
    <s v="TRX0221"/>
    <x v="139"/>
    <s v="CUST033"/>
    <s v="Frank Torres"/>
    <s v="P006"/>
    <x v="9"/>
    <x v="2"/>
    <n v="3"/>
    <n v="199.99"/>
    <s v="Cash"/>
    <x v="3"/>
    <s v="Premium"/>
    <d v="2022-09-19T00:00:00"/>
    <n v="599.97"/>
    <d v="2026-01-14T00:00:00"/>
    <d v="2026-01-14T12:18:31"/>
    <n v="29"/>
    <n v="28"/>
    <s v="normal"/>
  </r>
  <r>
    <s v="TRX0083"/>
    <x v="140"/>
    <s v="CUST017"/>
    <s v="Charles Allen"/>
    <s v="P007"/>
    <x v="6"/>
    <x v="2"/>
    <n v="5"/>
    <n v="299.99"/>
    <s v="Cash"/>
    <x v="3"/>
    <s v="Standard"/>
    <d v="2023-08-04T00:00:00"/>
    <n v="1499.95"/>
    <d v="2026-01-14T00:00:00"/>
    <d v="2026-01-14T12:18:31"/>
    <n v="18"/>
    <n v="28"/>
    <s v="normal"/>
  </r>
  <r>
    <s v="TRX0151"/>
    <x v="140"/>
    <s v="CUST040"/>
    <s v="Sharon Butler"/>
    <s v="P002"/>
    <x v="5"/>
    <x v="0"/>
    <n v="1"/>
    <n v="699.99"/>
    <s v="PayPal"/>
    <x v="3"/>
    <s v="Basic"/>
    <d v="2023-01-08T00:00:00"/>
    <n v="699.99"/>
    <d v="2026-01-14T00:00:00"/>
    <d v="2026-01-14T12:18:31"/>
    <n v="25"/>
    <n v="28"/>
    <s v="normal"/>
  </r>
  <r>
    <s v="TRX0047"/>
    <x v="141"/>
    <s v="CUST042"/>
    <s v="Ruth Brooks"/>
    <s v="P002"/>
    <x v="5"/>
    <x v="0"/>
    <n v="1"/>
    <n v="699.99"/>
    <s v="Cash"/>
    <x v="2"/>
    <s v="Premium"/>
    <d v="2022-01-22T00:00:00"/>
    <n v="699.99"/>
    <d v="2026-01-14T00:00:00"/>
    <d v="2026-01-14T12:18:31"/>
    <n v="37"/>
    <n v="28"/>
    <s v="normal"/>
  </r>
  <r>
    <s v="TRX0200"/>
    <x v="141"/>
    <s v="CUST037"/>
    <s v="Arthur Edwards"/>
    <s v="P008"/>
    <x v="2"/>
    <x v="2"/>
    <n v="4"/>
    <n v="149.99"/>
    <s v="PayPal"/>
    <x v="2"/>
    <s v="Premium"/>
    <d v="2021-08-04T00:00:00"/>
    <n v="599.96"/>
    <d v="2026-01-14T00:00:00"/>
    <d v="2026-01-14T12:18:31"/>
    <n v="42"/>
    <n v="28"/>
    <s v="normal"/>
  </r>
  <r>
    <s v="TRX0062"/>
    <x v="141"/>
    <s v="CUST016"/>
    <s v="Elizabeth Hall"/>
    <s v="P010"/>
    <x v="8"/>
    <x v="0"/>
    <n v="5"/>
    <n v="89.99"/>
    <s v="PayPal"/>
    <x v="3"/>
    <s v="Premium"/>
    <d v="2023-08-02T00:00:00"/>
    <n v="449.95"/>
    <d v="2026-01-14T00:00:00"/>
    <d v="2026-01-14T12:18:31"/>
    <n v="18"/>
    <n v="28"/>
    <s v="normal"/>
  </r>
  <r>
    <s v="TRX0182"/>
    <x v="142"/>
    <s v="CUST031"/>
    <s v="Steven Turner"/>
    <s v="P006"/>
    <x v="9"/>
    <x v="2"/>
    <n v="2"/>
    <n v="199.99"/>
    <s v="Cash"/>
    <x v="0"/>
    <s v="Premium"/>
    <d v="2022-01-12T00:00:00"/>
    <n v="399.98"/>
    <d v="2026-01-14T00:00:00"/>
    <d v="2026-01-14T12:18:31"/>
    <n v="37"/>
    <n v="28"/>
    <s v="normal"/>
  </r>
  <r>
    <s v="TRX0229"/>
    <x v="143"/>
    <s v="CUST015"/>
    <s v="Richard Lee"/>
    <s v="P005"/>
    <x v="1"/>
    <x v="1"/>
    <n v="4"/>
    <n v="59.99"/>
    <s v="Cash"/>
    <x v="3"/>
    <s v="Standard"/>
    <d v="2023-05-24T00:00:00"/>
    <n v="239.96"/>
    <d v="2026-01-14T00:00:00"/>
    <d v="2026-01-14T12:18:31"/>
    <n v="21"/>
    <n v="28"/>
    <s v="normal"/>
  </r>
  <r>
    <s v="TRX0048"/>
    <x v="143"/>
    <s v="CUST048"/>
    <s v="Virginia Sanders"/>
    <s v="P007"/>
    <x v="6"/>
    <x v="2"/>
    <n v="2"/>
    <n v="299.99"/>
    <s v="PayPal"/>
    <x v="1"/>
    <s v="Basic"/>
    <d v="2022-01-15T00:00:00"/>
    <n v="599.98"/>
    <d v="2026-01-14T00:00:00"/>
    <d v="2026-01-14T12:18:31"/>
    <n v="37"/>
    <n v="28"/>
    <s v="normal"/>
  </r>
  <r>
    <s v="TRX0227"/>
    <x v="144"/>
    <s v="CUST017"/>
    <s v="Charles Allen"/>
    <s v="P008"/>
    <x v="2"/>
    <x v="2"/>
    <n v="2"/>
    <n v="149.99"/>
    <s v="Cash"/>
    <x v="0"/>
    <s v="Basic"/>
    <d v="2023-05-22T00:00:00"/>
    <n v="299.98"/>
    <d v="2026-01-14T00:00:00"/>
    <d v="2026-01-14T12:18:31"/>
    <n v="21"/>
    <n v="31"/>
    <s v="normal"/>
  </r>
  <r>
    <s v="TRX0226"/>
    <x v="145"/>
    <s v="CUST039"/>
    <s v="Lawrence Reed"/>
    <s v="P002"/>
    <x v="5"/>
    <x v="0"/>
    <n v="5"/>
    <n v="699.99"/>
    <s v="Debit Card"/>
    <x v="4"/>
    <s v="Premium"/>
    <d v="2023-08-23T00:00:00"/>
    <n v="3499.95"/>
    <d v="2026-01-14T00:00:00"/>
    <d v="2026-01-14T12:18:31"/>
    <n v="18"/>
    <n v="31"/>
    <s v="high-value"/>
  </r>
  <r>
    <s v="TRX0053"/>
    <x v="146"/>
    <s v="CUST043"/>
    <s v="Dennis Gray"/>
    <s v="P005"/>
    <x v="1"/>
    <x v="1"/>
    <n v="5"/>
    <n v="59.99"/>
    <s v="Cash"/>
    <x v="3"/>
    <s v="Premium"/>
    <d v="2023-12-31T00:00:00"/>
    <n v="299.95"/>
    <d v="2026-01-14T00:00:00"/>
    <d v="2026-01-14T12:18:31"/>
    <n v="14"/>
    <n v="31"/>
    <s v="normal"/>
  </r>
  <r>
    <s v="TRX0233"/>
    <x v="147"/>
    <s v="CUST023"/>
    <s v="Paul Baker"/>
    <s v="P010"/>
    <x v="8"/>
    <x v="0"/>
    <n v="2"/>
    <n v="89.99"/>
    <s v="Credit Card"/>
    <x v="3"/>
    <s v="Premium"/>
    <d v="2024-01-04T00:00:00"/>
    <n v="179.98"/>
    <d v="2026-01-14T00:00:00"/>
    <d v="2026-01-14T12:18:31"/>
    <n v="14"/>
    <n v="31"/>
    <s v="normal"/>
  </r>
  <r>
    <s v="TRX0175"/>
    <x v="147"/>
    <s v="CUST030"/>
    <s v="Helen Roberts"/>
    <s v="P009"/>
    <x v="0"/>
    <x v="0"/>
    <n v="5"/>
    <n v="249.99"/>
    <s v="Cash"/>
    <x v="4"/>
    <s v="Standard"/>
    <d v="2021-12-10T00:00:00"/>
    <n v="1249.95"/>
    <d v="2026-01-14T00:00:00"/>
    <d v="2026-01-14T12:18:31"/>
    <n v="38"/>
    <n v="31"/>
    <s v="normal"/>
  </r>
  <r>
    <s v="TRX0186"/>
    <x v="148"/>
    <s v="CUST039"/>
    <s v="Lawrence Reed"/>
    <s v="P008"/>
    <x v="2"/>
    <x v="2"/>
    <n v="2"/>
    <n v="149.99"/>
    <s v="PayPal"/>
    <x v="0"/>
    <s v="Premium"/>
    <d v="2022-03-12T00:00:00"/>
    <n v="299.98"/>
    <d v="2026-01-14T00:00:00"/>
    <d v="2026-01-14T12:18:31"/>
    <n v="35"/>
    <n v="31"/>
    <s v="normal"/>
  </r>
  <r>
    <s v="TRX0016"/>
    <x v="148"/>
    <s v="CUST035"/>
    <s v="Harry Morgan"/>
    <s v="P001"/>
    <x v="4"/>
    <x v="0"/>
    <n v="5"/>
    <n v="899.99"/>
    <s v="PayPal"/>
    <x v="4"/>
    <s v="Premium"/>
    <d v="2024-04-07T00:00:00"/>
    <n v="4499.95"/>
    <d v="2026-01-14T00:00:00"/>
    <d v="2026-01-14T12:18:31"/>
    <n v="11"/>
    <n v="31"/>
    <s v="high-value"/>
  </r>
  <r>
    <s v="TRX0199"/>
    <x v="148"/>
    <s v="CUST017"/>
    <s v="Charles Allen"/>
    <s v="P008"/>
    <x v="2"/>
    <x v="2"/>
    <n v="4"/>
    <n v="149.99"/>
    <s v="Cash"/>
    <x v="0"/>
    <s v="Standard"/>
    <d v="2023-12-03T00:00:00"/>
    <n v="599.96"/>
    <d v="2026-01-14T00:00:00"/>
    <d v="2026-01-14T12:18:31"/>
    <n v="15"/>
    <n v="31"/>
    <s v="normal"/>
  </r>
  <r>
    <s v="TRX0038"/>
    <x v="149"/>
    <s v="CUST035"/>
    <s v="Harry Morgan"/>
    <s v="P009"/>
    <x v="0"/>
    <x v="0"/>
    <n v="1"/>
    <n v="249.99"/>
    <s v="Cash"/>
    <x v="2"/>
    <s v="Standard"/>
    <d v="2023-07-10T00:00:00"/>
    <n v="249.99"/>
    <d v="2026-01-14T00:00:00"/>
    <d v="2026-01-14T12:18:31"/>
    <n v="20"/>
    <n v="31"/>
    <s v="normal"/>
  </r>
  <r>
    <s v="TRX0014"/>
    <x v="150"/>
    <s v="CUST033"/>
    <s v="Frank Torres"/>
    <s v="P005"/>
    <x v="1"/>
    <x v="1"/>
    <n v="2"/>
    <n v="59.99"/>
    <s v="Credit Card"/>
    <x v="3"/>
    <s v="Basic"/>
    <d v="2023-09-24T00:00:00"/>
    <n v="119.98"/>
    <d v="2026-01-14T00:00:00"/>
    <d v="2026-01-14T12:18:31"/>
    <n v="17"/>
    <n v="31"/>
    <s v="normal"/>
  </r>
  <r>
    <s v="TRX0003"/>
    <x v="151"/>
    <s v="CUST002"/>
    <s v="Emma Wilson"/>
    <s v="P008"/>
    <x v="2"/>
    <x v="2"/>
    <n v="2"/>
    <n v="149.99"/>
    <s v="Cash"/>
    <x v="3"/>
    <s v="Premium"/>
    <d v="2023-11-03T00:00:00"/>
    <n v="299.98"/>
    <d v="2026-01-14T00:00:00"/>
    <d v="2026-01-14T12:18:31"/>
    <n v="16"/>
    <n v="31"/>
    <s v="normal"/>
  </r>
  <r>
    <s v="TRX0124"/>
    <x v="151"/>
    <s v="CUST040"/>
    <s v="Sharon Butler"/>
    <s v="P001"/>
    <x v="4"/>
    <x v="0"/>
    <n v="3"/>
    <n v="899.99"/>
    <s v="Debit Card"/>
    <x v="2"/>
    <s v="Premium"/>
    <d v="2022-11-11T00:00:00"/>
    <n v="2699.97"/>
    <d v="2026-01-14T00:00:00"/>
    <d v="2026-01-14T12:18:31"/>
    <n v="28"/>
    <n v="31"/>
    <s v="high-value"/>
  </r>
  <r>
    <s v="TRX0013"/>
    <x v="151"/>
    <s v="CUST024"/>
    <s v="Dorothy Nelson"/>
    <s v="P001"/>
    <x v="4"/>
    <x v="0"/>
    <n v="3"/>
    <n v="899.99"/>
    <s v="PayPal"/>
    <x v="2"/>
    <s v="Basic"/>
    <d v="2023-02-18T00:00:00"/>
    <n v="2699.97"/>
    <d v="2026-01-14T00:00:00"/>
    <d v="2026-01-14T12:18:31"/>
    <n v="25"/>
    <n v="31"/>
    <s v="high-value"/>
  </r>
  <r>
    <s v="TRX0019"/>
    <x v="152"/>
    <s v="CUST023"/>
    <s v="Paul Baker"/>
    <s v="P007"/>
    <x v="6"/>
    <x v="2"/>
    <n v="3"/>
    <n v="299.99"/>
    <s v="Credit Card"/>
    <x v="3"/>
    <s v="Premium"/>
    <d v="2023-11-04T00:00:00"/>
    <n v="899.97"/>
    <d v="2026-01-14T00:00:00"/>
    <d v="2026-01-14T12:18:31"/>
    <n v="16"/>
    <n v="31"/>
    <s v="normal"/>
  </r>
  <r>
    <s v="TRX0050"/>
    <x v="153"/>
    <s v="CUST001"/>
    <s v="John Smith"/>
    <s v="P008"/>
    <x v="2"/>
    <x v="2"/>
    <n v="4"/>
    <n v="149.99"/>
    <s v="PayPal"/>
    <x v="3"/>
    <s v="Standard"/>
    <d v="2021-12-30T00:00:00"/>
    <n v="599.96"/>
    <d v="2026-01-14T00:00:00"/>
    <d v="2026-01-14T12:18:31"/>
    <n v="38"/>
    <n v="31"/>
    <s v="normal"/>
  </r>
  <r>
    <s v="TRX0152"/>
    <x v="154"/>
    <s v="CUST044"/>
    <s v="Cynthia Price"/>
    <s v="P004"/>
    <x v="7"/>
    <x v="1"/>
    <n v="4"/>
    <n v="79.989999999999995"/>
    <s v="Credit Card"/>
    <x v="0"/>
    <s v="Basic"/>
    <d v="2023-12-28T00:00:00"/>
    <n v="319.95999999999998"/>
    <d v="2026-01-14T00:00:00"/>
    <d v="2026-01-14T12:18:31"/>
    <n v="14"/>
    <n v="31"/>
    <s v="normal"/>
  </r>
  <r>
    <s v="TRX0213"/>
    <x v="155"/>
    <s v="CUST020"/>
    <s v="Margaret Wright"/>
    <s v="P010"/>
    <x v="8"/>
    <x v="0"/>
    <n v="5"/>
    <n v="89.99"/>
    <s v="PayPal"/>
    <x v="1"/>
    <s v="Basic"/>
    <d v="2022-05-23T00:00:00"/>
    <n v="449.95"/>
    <d v="2026-01-14T00:00:00"/>
    <d v="2026-01-14T12:18:31"/>
    <n v="34"/>
    <n v="31"/>
    <s v="normal"/>
  </r>
  <r>
    <s v="TRX0197"/>
    <x v="156"/>
    <s v="CUST048"/>
    <s v="Virginia Sanders"/>
    <s v="P008"/>
    <x v="2"/>
    <x v="2"/>
    <n v="3"/>
    <n v="149.99"/>
    <s v="PayPal"/>
    <x v="0"/>
    <s v="Standard"/>
    <d v="2023-09-02T00:00:00"/>
    <n v="449.97"/>
    <d v="2026-01-14T00:00:00"/>
    <d v="2026-01-14T12:18:31"/>
    <n v="18"/>
    <n v="31"/>
    <s v="normal"/>
  </r>
  <r>
    <s v="TRX0250"/>
    <x v="156"/>
    <s v="CUST026"/>
    <s v="Karen Hill"/>
    <s v="P010"/>
    <x v="8"/>
    <x v="0"/>
    <n v="2"/>
    <n v="89.99"/>
    <s v="Debit Card"/>
    <x v="3"/>
    <s v="Premium"/>
    <d v="2021-11-22T00:00:00"/>
    <n v="179.98"/>
    <d v="2026-01-14T00:00:00"/>
    <d v="2026-01-14T12:18:31"/>
    <n v="40"/>
    <n v="31"/>
    <s v="normal"/>
  </r>
  <r>
    <s v="TRX0068"/>
    <x v="157"/>
    <s v="CUST044"/>
    <s v="Cynthia Price"/>
    <s v="P002"/>
    <x v="5"/>
    <x v="0"/>
    <n v="2"/>
    <n v="699.99"/>
    <s v="PayPal"/>
    <x v="2"/>
    <s v="Standard"/>
    <d v="2022-02-26T00:00:00"/>
    <n v="1399.98"/>
    <d v="2026-01-14T00:00:00"/>
    <d v="2026-01-14T12:18:31"/>
    <n v="37"/>
    <n v="30"/>
    <s v="normal"/>
  </r>
  <r>
    <s v="TRX0144"/>
    <x v="158"/>
    <s v="CUST029"/>
    <s v="Edward Mitchell"/>
    <s v="P001"/>
    <x v="4"/>
    <x v="0"/>
    <n v="3"/>
    <n v="899.99"/>
    <s v="Cash"/>
    <x v="0"/>
    <s v="Standard"/>
    <d v="2023-01-27T00:00:00"/>
    <n v="2699.97"/>
    <d v="2026-01-14T00:00:00"/>
    <d v="2026-01-14T12:18:31"/>
    <n v="26"/>
    <n v="30"/>
    <s v="high-value"/>
  </r>
  <r>
    <s v="TRX0039"/>
    <x v="159"/>
    <s v="CUST048"/>
    <s v="Virginia Sanders"/>
    <s v="P004"/>
    <x v="7"/>
    <x v="1"/>
    <n v="3"/>
    <n v="79.989999999999995"/>
    <s v="Credit Card"/>
    <x v="2"/>
    <s v="Basic"/>
    <d v="2021-11-11T00:00:00"/>
    <n v="239.97"/>
    <d v="2026-01-14T00:00:00"/>
    <d v="2026-01-14T12:18:31"/>
    <n v="40"/>
    <n v="30"/>
    <s v="normal"/>
  </r>
  <r>
    <s v="TRX0116"/>
    <x v="160"/>
    <s v="CUST009"/>
    <s v="Robert Thomas"/>
    <s v="P010"/>
    <x v="8"/>
    <x v="0"/>
    <n v="1"/>
    <n v="89.99"/>
    <s v="Debit Card"/>
    <x v="4"/>
    <s v="Basic"/>
    <d v="2024-02-24T00:00:00"/>
    <n v="89.99"/>
    <d v="2026-01-14T00:00:00"/>
    <d v="2026-01-14T12:18:31"/>
    <n v="13"/>
    <n v="30"/>
    <s v="normal"/>
  </r>
  <r>
    <s v="TRX0120"/>
    <x v="161"/>
    <s v="CUST045"/>
    <s v="Douglas Watson"/>
    <s v="P002"/>
    <x v="5"/>
    <x v="0"/>
    <n v="3"/>
    <n v="699.99"/>
    <s v="PayPal"/>
    <x v="2"/>
    <s v="Basic"/>
    <d v="2022-12-14T00:00:00"/>
    <n v="2099.9699999999998"/>
    <d v="2026-01-14T00:00:00"/>
    <d v="2026-01-14T12:18:31"/>
    <n v="27"/>
    <n v="30"/>
    <s v="high-value"/>
  </r>
  <r>
    <s v="TRX0103"/>
    <x v="161"/>
    <s v="CUST039"/>
    <s v="Lawrence Reed"/>
    <s v="P010"/>
    <x v="8"/>
    <x v="0"/>
    <n v="2"/>
    <n v="89.99"/>
    <s v="Debit Card"/>
    <x v="4"/>
    <s v="Basic"/>
    <d v="2023-06-11T00:00:00"/>
    <n v="179.98"/>
    <d v="2026-01-14T00:00:00"/>
    <d v="2026-01-14T12:18:31"/>
    <n v="22"/>
    <n v="30"/>
    <s v="normal"/>
  </r>
  <r>
    <s v="TRX0064"/>
    <x v="161"/>
    <s v="CUST031"/>
    <s v="Steven Turner"/>
    <s v="P010"/>
    <x v="8"/>
    <x v="0"/>
    <n v="3"/>
    <n v="89.99"/>
    <s v="Debit Card"/>
    <x v="2"/>
    <s v="Premium"/>
    <d v="2022-11-13T00:00:00"/>
    <n v="269.97000000000003"/>
    <d v="2026-01-14T00:00:00"/>
    <d v="2026-01-14T12:18:31"/>
    <n v="28"/>
    <n v="30"/>
    <s v="nor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495E34-E1EC-4FB5-A190-4C4BEC5A7F27}"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3">
  <location ref="A3:B9" firstHeaderRow="1" firstDataRow="1" firstDataCol="1" rowPageCount="1" colPageCount="1"/>
  <pivotFields count="19">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axis="axisRow" showAll="0">
      <items count="11">
        <item x="1"/>
        <item x="2"/>
        <item x="7"/>
        <item x="6"/>
        <item x="3"/>
        <item x="8"/>
        <item x="4"/>
        <item x="0"/>
        <item x="9"/>
        <item x="5"/>
        <item t="default"/>
      </items>
    </pivotField>
    <pivotField showAll="0">
      <items count="4">
        <item h="1" x="1"/>
        <item x="0"/>
        <item h="1" x="2"/>
        <item t="default"/>
      </items>
    </pivotField>
    <pivotField showAll="0"/>
    <pivotField showAll="0"/>
    <pivotField showAll="0"/>
    <pivotField axis="axisPage" showAll="0">
      <items count="6">
        <item x="0"/>
        <item x="4"/>
        <item x="2"/>
        <item x="1"/>
        <item x="3"/>
        <item t="default"/>
      </items>
    </pivotField>
    <pivotField showAll="0"/>
    <pivotField numFmtId="164" showAll="0"/>
    <pivotField dataField="1" showAll="0"/>
    <pivotField numFmtId="14" showAll="0"/>
    <pivotField numFmtId="22" showAll="0"/>
    <pivotField showAll="0"/>
    <pivotField showAll="0"/>
    <pivotField showAll="0"/>
  </pivotFields>
  <rowFields count="1">
    <field x="5"/>
  </rowFields>
  <rowItems count="6">
    <i>
      <x v="4"/>
    </i>
    <i>
      <x v="5"/>
    </i>
    <i>
      <x v="6"/>
    </i>
    <i>
      <x v="7"/>
    </i>
    <i>
      <x v="9"/>
    </i>
    <i t="grand">
      <x/>
    </i>
  </rowItems>
  <colItems count="1">
    <i/>
  </colItems>
  <pageFields count="1">
    <pageField fld="10" hier="-1"/>
  </pageFields>
  <dataFields count="1">
    <dataField name="Sum of Total_Amount" fld="13" baseField="0" baseItem="0"/>
  </dataFields>
  <chartFormats count="70">
    <chartFormat chart="1"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4" format="1">
      <pivotArea type="data" outline="0" fieldPosition="0">
        <references count="2">
          <reference field="4294967294" count="1" selected="0">
            <x v="0"/>
          </reference>
          <reference field="5" count="1" selected="0">
            <x v="5"/>
          </reference>
        </references>
      </pivotArea>
    </chartFormat>
    <chartFormat chart="34" format="2">
      <pivotArea type="data" outline="0" fieldPosition="0">
        <references count="2">
          <reference field="4294967294" count="1" selected="0">
            <x v="0"/>
          </reference>
          <reference field="5" count="1" selected="0">
            <x v="4"/>
          </reference>
        </references>
      </pivotArea>
    </chartFormat>
    <chartFormat chart="34" format="3">
      <pivotArea type="data" outline="0" fieldPosition="0">
        <references count="2">
          <reference field="4294967294" count="1" selected="0">
            <x v="0"/>
          </reference>
          <reference field="5" count="1" selected="0">
            <x v="3"/>
          </reference>
        </references>
      </pivotArea>
    </chartFormat>
    <chartFormat chart="34" format="4">
      <pivotArea type="data" outline="0" fieldPosition="0">
        <references count="2">
          <reference field="4294967294" count="1" selected="0">
            <x v="0"/>
          </reference>
          <reference field="5" count="1" selected="0">
            <x v="2"/>
          </reference>
        </references>
      </pivotArea>
    </chartFormat>
    <chartFormat chart="34" format="5">
      <pivotArea type="data" outline="0" fieldPosition="0">
        <references count="2">
          <reference field="4294967294" count="1" selected="0">
            <x v="0"/>
          </reference>
          <reference field="5" count="1" selected="0">
            <x v="1"/>
          </reference>
        </references>
      </pivotArea>
    </chartFormat>
    <chartFormat chart="34" format="6">
      <pivotArea type="data" outline="0" fieldPosition="0">
        <references count="2">
          <reference field="4294967294" count="1" selected="0">
            <x v="0"/>
          </reference>
          <reference field="5" count="1" selected="0">
            <x v="0"/>
          </reference>
        </references>
      </pivotArea>
    </chartFormat>
    <chartFormat chart="34" format="7">
      <pivotArea type="data" outline="0" fieldPosition="0">
        <references count="2">
          <reference field="4294967294" count="1" selected="0">
            <x v="0"/>
          </reference>
          <reference field="5" count="1" selected="0">
            <x v="7"/>
          </reference>
        </references>
      </pivotArea>
    </chartFormat>
    <chartFormat chart="34" format="8">
      <pivotArea type="data" outline="0" fieldPosition="0">
        <references count="2">
          <reference field="4294967294" count="1" selected="0">
            <x v="0"/>
          </reference>
          <reference field="5" count="1" selected="0">
            <x v="8"/>
          </reference>
        </references>
      </pivotArea>
    </chartFormat>
    <chartFormat chart="34" format="9">
      <pivotArea type="data" outline="0" fieldPosition="0">
        <references count="2">
          <reference field="4294967294" count="1" selected="0">
            <x v="0"/>
          </reference>
          <reference field="5" count="1" selected="0">
            <x v="9"/>
          </reference>
        </references>
      </pivotArea>
    </chartFormat>
    <chartFormat chart="34" format="10">
      <pivotArea type="data" outline="0" fieldPosition="0">
        <references count="2">
          <reference field="4294967294" count="1" selected="0">
            <x v="0"/>
          </reference>
          <reference field="5" count="1" selected="0">
            <x v="6"/>
          </reference>
        </references>
      </pivotArea>
    </chartFormat>
    <chartFormat chart="55" format="11" series="1">
      <pivotArea type="data" outline="0" fieldPosition="0">
        <references count="1">
          <reference field="4294967294" count="1" selected="0">
            <x v="0"/>
          </reference>
        </references>
      </pivotArea>
    </chartFormat>
    <chartFormat chart="55" format="12">
      <pivotArea type="data" outline="0" fieldPosition="0">
        <references count="2">
          <reference field="4294967294" count="1" selected="0">
            <x v="0"/>
          </reference>
          <reference field="5" count="1" selected="0">
            <x v="0"/>
          </reference>
        </references>
      </pivotArea>
    </chartFormat>
    <chartFormat chart="55" format="13">
      <pivotArea type="data" outline="0" fieldPosition="0">
        <references count="2">
          <reference field="4294967294" count="1" selected="0">
            <x v="0"/>
          </reference>
          <reference field="5" count="1" selected="0">
            <x v="1"/>
          </reference>
        </references>
      </pivotArea>
    </chartFormat>
    <chartFormat chart="55" format="14">
      <pivotArea type="data" outline="0" fieldPosition="0">
        <references count="2">
          <reference field="4294967294" count="1" selected="0">
            <x v="0"/>
          </reference>
          <reference field="5" count="1" selected="0">
            <x v="2"/>
          </reference>
        </references>
      </pivotArea>
    </chartFormat>
    <chartFormat chart="55" format="15">
      <pivotArea type="data" outline="0" fieldPosition="0">
        <references count="2">
          <reference field="4294967294" count="1" selected="0">
            <x v="0"/>
          </reference>
          <reference field="5" count="1" selected="0">
            <x v="3"/>
          </reference>
        </references>
      </pivotArea>
    </chartFormat>
    <chartFormat chart="55" format="16">
      <pivotArea type="data" outline="0" fieldPosition="0">
        <references count="2">
          <reference field="4294967294" count="1" selected="0">
            <x v="0"/>
          </reference>
          <reference field="5" count="1" selected="0">
            <x v="4"/>
          </reference>
        </references>
      </pivotArea>
    </chartFormat>
    <chartFormat chart="55" format="17">
      <pivotArea type="data" outline="0" fieldPosition="0">
        <references count="2">
          <reference field="4294967294" count="1" selected="0">
            <x v="0"/>
          </reference>
          <reference field="5" count="1" selected="0">
            <x v="5"/>
          </reference>
        </references>
      </pivotArea>
    </chartFormat>
    <chartFormat chart="55" format="18">
      <pivotArea type="data" outline="0" fieldPosition="0">
        <references count="2">
          <reference field="4294967294" count="1" selected="0">
            <x v="0"/>
          </reference>
          <reference field="5" count="1" selected="0">
            <x v="6"/>
          </reference>
        </references>
      </pivotArea>
    </chartFormat>
    <chartFormat chart="55" format="19">
      <pivotArea type="data" outline="0" fieldPosition="0">
        <references count="2">
          <reference field="4294967294" count="1" selected="0">
            <x v="0"/>
          </reference>
          <reference field="5" count="1" selected="0">
            <x v="7"/>
          </reference>
        </references>
      </pivotArea>
    </chartFormat>
    <chartFormat chart="55" format="20">
      <pivotArea type="data" outline="0" fieldPosition="0">
        <references count="2">
          <reference field="4294967294" count="1" selected="0">
            <x v="0"/>
          </reference>
          <reference field="5" count="1" selected="0">
            <x v="8"/>
          </reference>
        </references>
      </pivotArea>
    </chartFormat>
    <chartFormat chart="55" format="21">
      <pivotArea type="data" outline="0" fieldPosition="0">
        <references count="2">
          <reference field="4294967294" count="1" selected="0">
            <x v="0"/>
          </reference>
          <reference field="5" count="1" selected="0">
            <x v="9"/>
          </reference>
        </references>
      </pivotArea>
    </chartFormat>
    <chartFormat chart="56" format="22" series="1">
      <pivotArea type="data" outline="0" fieldPosition="0">
        <references count="1">
          <reference field="4294967294" count="1" selected="0">
            <x v="0"/>
          </reference>
        </references>
      </pivotArea>
    </chartFormat>
    <chartFormat chart="56" format="23">
      <pivotArea type="data" outline="0" fieldPosition="0">
        <references count="2">
          <reference field="4294967294" count="1" selected="0">
            <x v="0"/>
          </reference>
          <reference field="5" count="1" selected="0">
            <x v="0"/>
          </reference>
        </references>
      </pivotArea>
    </chartFormat>
    <chartFormat chart="56" format="24">
      <pivotArea type="data" outline="0" fieldPosition="0">
        <references count="2">
          <reference field="4294967294" count="1" selected="0">
            <x v="0"/>
          </reference>
          <reference field="5" count="1" selected="0">
            <x v="1"/>
          </reference>
        </references>
      </pivotArea>
    </chartFormat>
    <chartFormat chart="56" format="25">
      <pivotArea type="data" outline="0" fieldPosition="0">
        <references count="2">
          <reference field="4294967294" count="1" selected="0">
            <x v="0"/>
          </reference>
          <reference field="5" count="1" selected="0">
            <x v="2"/>
          </reference>
        </references>
      </pivotArea>
    </chartFormat>
    <chartFormat chart="56" format="26">
      <pivotArea type="data" outline="0" fieldPosition="0">
        <references count="2">
          <reference field="4294967294" count="1" selected="0">
            <x v="0"/>
          </reference>
          <reference field="5" count="1" selected="0">
            <x v="3"/>
          </reference>
        </references>
      </pivotArea>
    </chartFormat>
    <chartFormat chart="56" format="27">
      <pivotArea type="data" outline="0" fieldPosition="0">
        <references count="2">
          <reference field="4294967294" count="1" selected="0">
            <x v="0"/>
          </reference>
          <reference field="5" count="1" selected="0">
            <x v="4"/>
          </reference>
        </references>
      </pivotArea>
    </chartFormat>
    <chartFormat chart="56" format="28">
      <pivotArea type="data" outline="0" fieldPosition="0">
        <references count="2">
          <reference field="4294967294" count="1" selected="0">
            <x v="0"/>
          </reference>
          <reference field="5" count="1" selected="0">
            <x v="5"/>
          </reference>
        </references>
      </pivotArea>
    </chartFormat>
    <chartFormat chart="56" format="29">
      <pivotArea type="data" outline="0" fieldPosition="0">
        <references count="2">
          <reference field="4294967294" count="1" selected="0">
            <x v="0"/>
          </reference>
          <reference field="5" count="1" selected="0">
            <x v="6"/>
          </reference>
        </references>
      </pivotArea>
    </chartFormat>
    <chartFormat chart="56" format="30">
      <pivotArea type="data" outline="0" fieldPosition="0">
        <references count="2">
          <reference field="4294967294" count="1" selected="0">
            <x v="0"/>
          </reference>
          <reference field="5" count="1" selected="0">
            <x v="7"/>
          </reference>
        </references>
      </pivotArea>
    </chartFormat>
    <chartFormat chart="56" format="31">
      <pivotArea type="data" outline="0" fieldPosition="0">
        <references count="2">
          <reference field="4294967294" count="1" selected="0">
            <x v="0"/>
          </reference>
          <reference field="5" count="1" selected="0">
            <x v="8"/>
          </reference>
        </references>
      </pivotArea>
    </chartFormat>
    <chartFormat chart="56" format="32">
      <pivotArea type="data" outline="0" fieldPosition="0">
        <references count="2">
          <reference field="4294967294" count="1" selected="0">
            <x v="0"/>
          </reference>
          <reference field="5" count="1" selected="0">
            <x v="9"/>
          </reference>
        </references>
      </pivotArea>
    </chartFormat>
    <chartFormat chart="74" format="2" series="1">
      <pivotArea type="data" outline="0" fieldPosition="0">
        <references count="1">
          <reference field="4294967294" count="1" selected="0">
            <x v="0"/>
          </reference>
        </references>
      </pivotArea>
    </chartFormat>
    <chartFormat chart="78" format="2" series="1">
      <pivotArea type="data" outline="0" fieldPosition="0">
        <references count="1">
          <reference field="4294967294" count="1" selected="0">
            <x v="0"/>
          </reference>
        </references>
      </pivotArea>
    </chartFormat>
    <chartFormat chart="79" format="11" series="1">
      <pivotArea type="data" outline="0" fieldPosition="0">
        <references count="1">
          <reference field="4294967294" count="1" selected="0">
            <x v="0"/>
          </reference>
        </references>
      </pivotArea>
    </chartFormat>
    <chartFormat chart="79" format="12">
      <pivotArea type="data" outline="0" fieldPosition="0">
        <references count="2">
          <reference field="4294967294" count="1" selected="0">
            <x v="0"/>
          </reference>
          <reference field="5" count="1" selected="0">
            <x v="0"/>
          </reference>
        </references>
      </pivotArea>
    </chartFormat>
    <chartFormat chart="79" format="13">
      <pivotArea type="data" outline="0" fieldPosition="0">
        <references count="2">
          <reference field="4294967294" count="1" selected="0">
            <x v="0"/>
          </reference>
          <reference field="5" count="1" selected="0">
            <x v="1"/>
          </reference>
        </references>
      </pivotArea>
    </chartFormat>
    <chartFormat chart="79" format="14">
      <pivotArea type="data" outline="0" fieldPosition="0">
        <references count="2">
          <reference field="4294967294" count="1" selected="0">
            <x v="0"/>
          </reference>
          <reference field="5" count="1" selected="0">
            <x v="2"/>
          </reference>
        </references>
      </pivotArea>
    </chartFormat>
    <chartFormat chart="79" format="15">
      <pivotArea type="data" outline="0" fieldPosition="0">
        <references count="2">
          <reference field="4294967294" count="1" selected="0">
            <x v="0"/>
          </reference>
          <reference field="5" count="1" selected="0">
            <x v="3"/>
          </reference>
        </references>
      </pivotArea>
    </chartFormat>
    <chartFormat chart="79" format="16">
      <pivotArea type="data" outline="0" fieldPosition="0">
        <references count="2">
          <reference field="4294967294" count="1" selected="0">
            <x v="0"/>
          </reference>
          <reference field="5" count="1" selected="0">
            <x v="4"/>
          </reference>
        </references>
      </pivotArea>
    </chartFormat>
    <chartFormat chart="79" format="17">
      <pivotArea type="data" outline="0" fieldPosition="0">
        <references count="2">
          <reference field="4294967294" count="1" selected="0">
            <x v="0"/>
          </reference>
          <reference field="5" count="1" selected="0">
            <x v="5"/>
          </reference>
        </references>
      </pivotArea>
    </chartFormat>
    <chartFormat chart="79" format="18">
      <pivotArea type="data" outline="0" fieldPosition="0">
        <references count="2">
          <reference field="4294967294" count="1" selected="0">
            <x v="0"/>
          </reference>
          <reference field="5" count="1" selected="0">
            <x v="6"/>
          </reference>
        </references>
      </pivotArea>
    </chartFormat>
    <chartFormat chart="79" format="19">
      <pivotArea type="data" outline="0" fieldPosition="0">
        <references count="2">
          <reference field="4294967294" count="1" selected="0">
            <x v="0"/>
          </reference>
          <reference field="5" count="1" selected="0">
            <x v="7"/>
          </reference>
        </references>
      </pivotArea>
    </chartFormat>
    <chartFormat chart="79" format="20">
      <pivotArea type="data" outline="0" fieldPosition="0">
        <references count="2">
          <reference field="4294967294" count="1" selected="0">
            <x v="0"/>
          </reference>
          <reference field="5" count="1" selected="0">
            <x v="8"/>
          </reference>
        </references>
      </pivotArea>
    </chartFormat>
    <chartFormat chart="79" format="21">
      <pivotArea type="data" outline="0" fieldPosition="0">
        <references count="2">
          <reference field="4294967294" count="1" selected="0">
            <x v="0"/>
          </reference>
          <reference field="5" count="1" selected="0">
            <x v="9"/>
          </reference>
        </references>
      </pivotArea>
    </chartFormat>
    <chartFormat chart="80" format="22" series="1">
      <pivotArea type="data" outline="0" fieldPosition="0">
        <references count="1">
          <reference field="4294967294" count="1" selected="0">
            <x v="0"/>
          </reference>
        </references>
      </pivotArea>
    </chartFormat>
    <chartFormat chart="80" format="23">
      <pivotArea type="data" outline="0" fieldPosition="0">
        <references count="2">
          <reference field="4294967294" count="1" selected="0">
            <x v="0"/>
          </reference>
          <reference field="5" count="1" selected="0">
            <x v="0"/>
          </reference>
        </references>
      </pivotArea>
    </chartFormat>
    <chartFormat chart="80" format="24">
      <pivotArea type="data" outline="0" fieldPosition="0">
        <references count="2">
          <reference field="4294967294" count="1" selected="0">
            <x v="0"/>
          </reference>
          <reference field="5" count="1" selected="0">
            <x v="1"/>
          </reference>
        </references>
      </pivotArea>
    </chartFormat>
    <chartFormat chart="80" format="25">
      <pivotArea type="data" outline="0" fieldPosition="0">
        <references count="2">
          <reference field="4294967294" count="1" selected="0">
            <x v="0"/>
          </reference>
          <reference field="5" count="1" selected="0">
            <x v="2"/>
          </reference>
        </references>
      </pivotArea>
    </chartFormat>
    <chartFormat chart="80" format="26">
      <pivotArea type="data" outline="0" fieldPosition="0">
        <references count="2">
          <reference field="4294967294" count="1" selected="0">
            <x v="0"/>
          </reference>
          <reference field="5" count="1" selected="0">
            <x v="3"/>
          </reference>
        </references>
      </pivotArea>
    </chartFormat>
    <chartFormat chart="80" format="27">
      <pivotArea type="data" outline="0" fieldPosition="0">
        <references count="2">
          <reference field="4294967294" count="1" selected="0">
            <x v="0"/>
          </reference>
          <reference field="5" count="1" selected="0">
            <x v="4"/>
          </reference>
        </references>
      </pivotArea>
    </chartFormat>
    <chartFormat chart="80" format="28">
      <pivotArea type="data" outline="0" fieldPosition="0">
        <references count="2">
          <reference field="4294967294" count="1" selected="0">
            <x v="0"/>
          </reference>
          <reference field="5" count="1" selected="0">
            <x v="5"/>
          </reference>
        </references>
      </pivotArea>
    </chartFormat>
    <chartFormat chart="80" format="29">
      <pivotArea type="data" outline="0" fieldPosition="0">
        <references count="2">
          <reference field="4294967294" count="1" selected="0">
            <x v="0"/>
          </reference>
          <reference field="5" count="1" selected="0">
            <x v="6"/>
          </reference>
        </references>
      </pivotArea>
    </chartFormat>
    <chartFormat chart="80" format="30">
      <pivotArea type="data" outline="0" fieldPosition="0">
        <references count="2">
          <reference field="4294967294" count="1" selected="0">
            <x v="0"/>
          </reference>
          <reference field="5" count="1" selected="0">
            <x v="7"/>
          </reference>
        </references>
      </pivotArea>
    </chartFormat>
    <chartFormat chart="80" format="31">
      <pivotArea type="data" outline="0" fieldPosition="0">
        <references count="2">
          <reference field="4294967294" count="1" selected="0">
            <x v="0"/>
          </reference>
          <reference field="5" count="1" selected="0">
            <x v="8"/>
          </reference>
        </references>
      </pivotArea>
    </chartFormat>
    <chartFormat chart="80" format="32">
      <pivotArea type="data" outline="0" fieldPosition="0">
        <references count="2">
          <reference field="4294967294" count="1" selected="0">
            <x v="0"/>
          </reference>
          <reference field="5" count="1" selected="0">
            <x v="9"/>
          </reference>
        </references>
      </pivotArea>
    </chartFormat>
    <chartFormat chart="82" format="22" series="1">
      <pivotArea type="data" outline="0" fieldPosition="0">
        <references count="1">
          <reference field="4294967294" count="1" selected="0">
            <x v="0"/>
          </reference>
        </references>
      </pivotArea>
    </chartFormat>
    <chartFormat chart="82" format="23">
      <pivotArea type="data" outline="0" fieldPosition="0">
        <references count="2">
          <reference field="4294967294" count="1" selected="0">
            <x v="0"/>
          </reference>
          <reference field="5" count="1" selected="0">
            <x v="0"/>
          </reference>
        </references>
      </pivotArea>
    </chartFormat>
    <chartFormat chart="82" format="24">
      <pivotArea type="data" outline="0" fieldPosition="0">
        <references count="2">
          <reference field="4294967294" count="1" selected="0">
            <x v="0"/>
          </reference>
          <reference field="5" count="1" selected="0">
            <x v="1"/>
          </reference>
        </references>
      </pivotArea>
    </chartFormat>
    <chartFormat chart="82" format="25">
      <pivotArea type="data" outline="0" fieldPosition="0">
        <references count="2">
          <reference field="4294967294" count="1" selected="0">
            <x v="0"/>
          </reference>
          <reference field="5" count="1" selected="0">
            <x v="2"/>
          </reference>
        </references>
      </pivotArea>
    </chartFormat>
    <chartFormat chart="82" format="26">
      <pivotArea type="data" outline="0" fieldPosition="0">
        <references count="2">
          <reference field="4294967294" count="1" selected="0">
            <x v="0"/>
          </reference>
          <reference field="5" count="1" selected="0">
            <x v="3"/>
          </reference>
        </references>
      </pivotArea>
    </chartFormat>
    <chartFormat chart="82" format="27">
      <pivotArea type="data" outline="0" fieldPosition="0">
        <references count="2">
          <reference field="4294967294" count="1" selected="0">
            <x v="0"/>
          </reference>
          <reference field="5" count="1" selected="0">
            <x v="4"/>
          </reference>
        </references>
      </pivotArea>
    </chartFormat>
    <chartFormat chart="82" format="28">
      <pivotArea type="data" outline="0" fieldPosition="0">
        <references count="2">
          <reference field="4294967294" count="1" selected="0">
            <x v="0"/>
          </reference>
          <reference field="5" count="1" selected="0">
            <x v="5"/>
          </reference>
        </references>
      </pivotArea>
    </chartFormat>
    <chartFormat chart="82" format="29">
      <pivotArea type="data" outline="0" fieldPosition="0">
        <references count="2">
          <reference field="4294967294" count="1" selected="0">
            <x v="0"/>
          </reference>
          <reference field="5" count="1" selected="0">
            <x v="6"/>
          </reference>
        </references>
      </pivotArea>
    </chartFormat>
    <chartFormat chart="82" format="30">
      <pivotArea type="data" outline="0" fieldPosition="0">
        <references count="2">
          <reference field="4294967294" count="1" selected="0">
            <x v="0"/>
          </reference>
          <reference field="5" count="1" selected="0">
            <x v="7"/>
          </reference>
        </references>
      </pivotArea>
    </chartFormat>
    <chartFormat chart="82" format="31">
      <pivotArea type="data" outline="0" fieldPosition="0">
        <references count="2">
          <reference field="4294967294" count="1" selected="0">
            <x v="0"/>
          </reference>
          <reference field="5" count="1" selected="0">
            <x v="8"/>
          </reference>
        </references>
      </pivotArea>
    </chartFormat>
    <chartFormat chart="82" format="32">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44B446-C142-422D-9675-B71B86895B8C}" sourceName="Category">
  <pivotTables>
    <pivotTable tabId="5" name="PivotTable1"/>
  </pivotTables>
  <data>
    <tabular pivotCacheId="2022788008">
      <items count="3">
        <i x="1"/>
        <i x="0"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36B6131-9314-4985-955E-533929D06A7E}" sourceName="Region">
  <pivotTables>
    <pivotTable tabId="5" name="PivotTable1"/>
  </pivotTables>
  <data>
    <tabular pivotCacheId="2022788008">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56567C7-382F-45CB-8C7F-606C9A1A17B6}" cache="Slicer_Category" caption="Category" style="SlicerStyleOther1" rowHeight="241300"/>
  <slicer name="Region" xr10:uid="{74CCF402-85DA-46FD-B77A-1C60505E3E18}" cache="Slicer_Region" caption="Region"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54067AB-03D5-4907-A4F3-F7E5BB91D9A9}" cache="Slicer_Category" caption="Category" style="SlicerStyleOther1" rowHeight="241300"/>
  <slicer name="Region 1" xr10:uid="{63B439D3-DF25-4C84-947E-D54273239E3D}" cache="Slicer_Region" caption="Region"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DEB0C7-CB74-48BB-A4B1-7C19FFEBA364}" name="SalesData" displayName="SalesData" ref="A1:S251" totalsRowShown="0" headerRowDxfId="19">
  <autoFilter ref="A1:S251" xr:uid="{A7DEB0C7-CB74-48BB-A4B1-7C19FFEBA364}"/>
  <tableColumns count="19">
    <tableColumn id="1" xr3:uid="{7DD7DB1D-6D60-45DD-AB0B-E5FD9E2F7FDA}" name="Transaction_ID" dataDxfId="18"/>
    <tableColumn id="2" xr3:uid="{84826E4B-729F-4641-B1A6-6B8FFCCA86E3}" name="Date" dataDxfId="17"/>
    <tableColumn id="3" xr3:uid="{9BCC2989-974E-4245-8FFF-AD4984D8FAB1}" name="Customer_ID" dataDxfId="16"/>
    <tableColumn id="4" xr3:uid="{78DC11A5-1AF3-4C82-B22F-988DA86DF719}" name="Customer_Name" dataDxfId="15"/>
    <tableColumn id="5" xr3:uid="{42A9FA58-00AD-4124-A73D-C60491D2B61D}" name="Product_ID" dataDxfId="14"/>
    <tableColumn id="6" xr3:uid="{44D8C294-1052-43A8-8C4D-83C0FCA5C021}" name="Product_Name" dataDxfId="13"/>
    <tableColumn id="7" xr3:uid="{A82ABB9C-485A-4CC4-A5CD-67425A3F3A9C}" name="Category" dataDxfId="12"/>
    <tableColumn id="8" xr3:uid="{78EB0A9B-76EA-4ACE-A116-79F1BCF44684}" name="Quantity" dataDxfId="11"/>
    <tableColumn id="9" xr3:uid="{F53839F1-BB0F-46DB-A7BA-54159D30F4EA}" name="Unit_Price" dataDxfId="10"/>
    <tableColumn id="10" xr3:uid="{7110932A-3BF0-4C2B-9668-A1C7D291E78E}" name="Payment_Method" dataDxfId="9"/>
    <tableColumn id="11" xr3:uid="{C6D8C8F5-E1EF-4DFD-BA82-188493999595}" name="Region" dataDxfId="8"/>
    <tableColumn id="12" xr3:uid="{4B54A0B1-00CD-4EB0-8C86-AFA2DE21FBC0}" name="Customer_Segment" dataDxfId="7"/>
    <tableColumn id="13" xr3:uid="{BFA5303F-A343-470A-827B-C29B721D9CD9}" name="Customer_Since" dataDxfId="6"/>
    <tableColumn id="14" xr3:uid="{388ADDB3-7ED1-489D-8570-821B31B9A6E2}" name="Total_Amount" dataDxfId="5"/>
    <tableColumn id="15" xr3:uid="{AB380310-9334-4045-922D-DA9A32592B92}" name="Today" dataDxfId="4">
      <calculatedColumnFormula>TODAY()</calculatedColumnFormula>
    </tableColumn>
    <tableColumn id="16" xr3:uid="{B9A2AD79-9BE1-4DA0-952D-A07855FFFD8D}" name="Now" dataDxfId="3">
      <calculatedColumnFormula>NOW()</calculatedColumnFormula>
    </tableColumn>
    <tableColumn id="17" xr3:uid="{19985511-B8AD-4BAE-82A8-54B37582829A}" name="DateDIF" dataDxfId="2">
      <calculatedColumnFormula>DATEDIF(M2,B2,"M")</calculatedColumnFormula>
    </tableColumn>
    <tableColumn id="18" xr3:uid="{5FD3FB20-29C9-4DEC-9CEC-53253C39AF1D}" name="Eomonth" dataDxfId="1">
      <calculatedColumnFormula>DAY(EOMONTH(B2,0))</calculatedColumnFormula>
    </tableColumn>
    <tableColumn id="19" xr3:uid="{6FB27C4B-EC31-4683-AF8D-E152ED36BCF9}" name="Customer_value" dataDxfId="0">
      <calculatedColumnFormula>IF(N2&gt;2000,"high-value","normal")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93B67BE-83A5-4C12-9601-D7F8FDA29F37}" sourceName="Date">
  <pivotTables>
    <pivotTable tabId="5" name="PivotTable1"/>
  </pivotTables>
  <state minimalRefreshVersion="6" lastRefreshVersion="6" pivotCacheId="2022788008"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B74EA94-E25A-4E0C-8C90-05A688ED0EEB}" cache="NativeTimeline_Date" caption="Date" level="2" selectionLevel="2" scrollPosition="2024-04-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1249376F-4B83-4E76-9860-8A8BEDBB18CF}" cache="NativeTimeline_Date" caption="Date" level="2" selectionLevel="2" scrollPosition="2024-04-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A2" workbookViewId="0">
      <selection activeCell="A2" sqref="A2"/>
    </sheetView>
  </sheetViews>
  <sheetFormatPr defaultColWidth="14.46484375" defaultRowHeight="15" customHeight="1" x14ac:dyDescent="0.45"/>
  <cols>
    <col min="1" max="1" width="94.796875" customWidth="1"/>
    <col min="2" max="25" width="8.73046875" customWidth="1"/>
  </cols>
  <sheetData>
    <row r="1" spans="1:25" ht="14.25" x14ac:dyDescent="0.45">
      <c r="A1" s="1" t="s">
        <v>0</v>
      </c>
      <c r="B1" s="2"/>
      <c r="C1" s="2"/>
      <c r="D1" s="2"/>
      <c r="E1" s="2"/>
      <c r="F1" s="2"/>
      <c r="G1" s="2"/>
      <c r="H1" s="2"/>
      <c r="I1" s="2"/>
      <c r="J1" s="2"/>
      <c r="K1" s="2"/>
      <c r="L1" s="2"/>
      <c r="M1" s="2"/>
      <c r="N1" s="2"/>
      <c r="O1" s="2"/>
      <c r="P1" s="2"/>
      <c r="Q1" s="2"/>
      <c r="R1" s="2"/>
      <c r="S1" s="2"/>
      <c r="T1" s="2"/>
      <c r="U1" s="2"/>
      <c r="V1" s="2"/>
      <c r="W1" s="2"/>
      <c r="X1" s="2"/>
      <c r="Y1" s="2"/>
    </row>
    <row r="2" spans="1:25" ht="409.5" x14ac:dyDescent="0.45">
      <c r="A2" s="6" t="s">
        <v>1</v>
      </c>
      <c r="B2" s="2"/>
      <c r="C2" s="2"/>
      <c r="D2" s="2"/>
      <c r="E2" s="2"/>
      <c r="F2" s="2"/>
      <c r="G2" s="2"/>
      <c r="H2" s="2"/>
      <c r="I2" s="2"/>
      <c r="J2" s="2"/>
      <c r="K2" s="2"/>
      <c r="L2" s="2"/>
      <c r="M2" s="2"/>
      <c r="N2" s="2"/>
      <c r="O2" s="2"/>
      <c r="P2" s="2"/>
      <c r="Q2" s="2"/>
      <c r="R2" s="2"/>
      <c r="S2" s="2"/>
      <c r="T2" s="2"/>
      <c r="U2" s="2"/>
      <c r="V2" s="2"/>
      <c r="W2" s="2"/>
      <c r="X2" s="2"/>
      <c r="Y2" s="2"/>
    </row>
    <row r="3" spans="1:25" ht="14.25" x14ac:dyDescent="0.45">
      <c r="A3" s="2"/>
      <c r="B3" s="2"/>
      <c r="C3" s="2"/>
      <c r="D3" s="2"/>
      <c r="E3" s="2"/>
      <c r="F3" s="2"/>
      <c r="G3" s="2"/>
      <c r="H3" s="2"/>
      <c r="I3" s="2"/>
      <c r="J3" s="2"/>
      <c r="K3" s="2"/>
      <c r="L3" s="2"/>
      <c r="M3" s="2"/>
      <c r="N3" s="2"/>
      <c r="O3" s="2"/>
      <c r="P3" s="2"/>
      <c r="Q3" s="2"/>
      <c r="R3" s="2"/>
      <c r="S3" s="2"/>
      <c r="T3" s="2"/>
      <c r="U3" s="2"/>
      <c r="V3" s="2"/>
      <c r="W3" s="2"/>
      <c r="X3" s="2"/>
      <c r="Y3" s="2"/>
    </row>
    <row r="4" spans="1:25" ht="14.25" x14ac:dyDescent="0.45">
      <c r="A4" s="2"/>
      <c r="B4" s="2"/>
      <c r="C4" s="2"/>
      <c r="D4" s="2"/>
      <c r="E4" s="2"/>
      <c r="F4" s="2"/>
      <c r="G4" s="2"/>
      <c r="H4" s="2"/>
      <c r="I4" s="2"/>
      <c r="J4" s="2"/>
      <c r="K4" s="2"/>
      <c r="L4" s="2"/>
      <c r="M4" s="2"/>
      <c r="N4" s="2"/>
      <c r="O4" s="2"/>
      <c r="P4" s="2"/>
      <c r="Q4" s="2"/>
      <c r="R4" s="2"/>
      <c r="S4" s="2"/>
      <c r="T4" s="2"/>
      <c r="U4" s="2"/>
      <c r="V4" s="2"/>
      <c r="W4" s="2"/>
      <c r="X4" s="2"/>
      <c r="Y4" s="2"/>
    </row>
    <row r="5" spans="1:25" ht="14.25" x14ac:dyDescent="0.45">
      <c r="A5" s="2"/>
      <c r="B5" s="2"/>
      <c r="C5" s="2"/>
      <c r="D5" s="2"/>
      <c r="E5" s="2"/>
      <c r="F5" s="2"/>
      <c r="G5" s="2"/>
      <c r="H5" s="2"/>
      <c r="I5" s="2"/>
      <c r="J5" s="2"/>
      <c r="K5" s="2"/>
      <c r="L5" s="2"/>
      <c r="M5" s="2"/>
      <c r="N5" s="2"/>
      <c r="O5" s="2"/>
      <c r="P5" s="2"/>
      <c r="Q5" s="2"/>
      <c r="R5" s="2"/>
      <c r="S5" s="2"/>
      <c r="T5" s="2"/>
      <c r="U5" s="2"/>
      <c r="V5" s="2"/>
      <c r="W5" s="2"/>
      <c r="X5" s="2"/>
      <c r="Y5" s="2"/>
    </row>
    <row r="6" spans="1:25" ht="14.25" x14ac:dyDescent="0.45">
      <c r="A6" s="2"/>
      <c r="B6" s="2"/>
      <c r="C6" s="2"/>
      <c r="D6" s="2"/>
      <c r="E6" s="2"/>
      <c r="F6" s="2"/>
      <c r="G6" s="2"/>
      <c r="H6" s="2"/>
      <c r="I6" s="2"/>
      <c r="J6" s="2"/>
      <c r="K6" s="2"/>
      <c r="L6" s="2"/>
      <c r="M6" s="2"/>
      <c r="N6" s="2"/>
      <c r="O6" s="2"/>
      <c r="P6" s="2"/>
      <c r="Q6" s="2"/>
      <c r="R6" s="2"/>
      <c r="S6" s="2"/>
      <c r="T6" s="2"/>
      <c r="U6" s="2"/>
      <c r="V6" s="2"/>
      <c r="W6" s="2"/>
      <c r="X6" s="2"/>
      <c r="Y6" s="2"/>
    </row>
    <row r="7" spans="1:25" ht="14.25" x14ac:dyDescent="0.45">
      <c r="A7" s="2"/>
      <c r="B7" s="2"/>
      <c r="C7" s="2"/>
      <c r="D7" s="2"/>
      <c r="E7" s="2"/>
      <c r="F7" s="2"/>
      <c r="G7" s="2"/>
      <c r="H7" s="2"/>
      <c r="I7" s="2"/>
      <c r="J7" s="2"/>
      <c r="K7" s="2"/>
      <c r="L7" s="2"/>
      <c r="M7" s="2"/>
      <c r="N7" s="2"/>
      <c r="O7" s="2"/>
      <c r="P7" s="2"/>
      <c r="Q7" s="2"/>
      <c r="R7" s="2"/>
      <c r="S7" s="2"/>
      <c r="T7" s="2"/>
      <c r="U7" s="2"/>
      <c r="V7" s="2"/>
      <c r="W7" s="2"/>
      <c r="X7" s="2"/>
      <c r="Y7" s="2"/>
    </row>
    <row r="8" spans="1:25" ht="14.25" x14ac:dyDescent="0.45">
      <c r="A8" s="2"/>
      <c r="B8" s="2"/>
      <c r="C8" s="2"/>
      <c r="D8" s="2"/>
      <c r="E8" s="2"/>
      <c r="F8" s="2"/>
      <c r="G8" s="2"/>
      <c r="H8" s="2"/>
      <c r="I8" s="2"/>
      <c r="J8" s="2"/>
      <c r="K8" s="2"/>
      <c r="L8" s="2"/>
      <c r="M8" s="2"/>
      <c r="N8" s="2"/>
      <c r="O8" s="2"/>
      <c r="P8" s="2"/>
      <c r="Q8" s="2"/>
      <c r="R8" s="2"/>
      <c r="S8" s="2"/>
      <c r="T8" s="2"/>
      <c r="U8" s="2"/>
      <c r="V8" s="2"/>
      <c r="W8" s="2"/>
      <c r="X8" s="2"/>
      <c r="Y8" s="2"/>
    </row>
    <row r="9" spans="1:25" ht="14.25" x14ac:dyDescent="0.45">
      <c r="A9" s="2"/>
      <c r="B9" s="2"/>
      <c r="C9" s="2"/>
      <c r="D9" s="2"/>
      <c r="E9" s="2"/>
      <c r="F9" s="2"/>
      <c r="G9" s="2"/>
      <c r="H9" s="2"/>
      <c r="I9" s="2"/>
      <c r="J9" s="2"/>
      <c r="K9" s="2"/>
      <c r="L9" s="2"/>
      <c r="M9" s="2"/>
      <c r="N9" s="2"/>
      <c r="O9" s="2"/>
      <c r="P9" s="2"/>
      <c r="Q9" s="2"/>
      <c r="R9" s="2"/>
      <c r="S9" s="2"/>
      <c r="T9" s="2"/>
      <c r="U9" s="2"/>
      <c r="V9" s="2"/>
      <c r="W9" s="2"/>
      <c r="X9" s="2"/>
      <c r="Y9" s="2"/>
    </row>
    <row r="10" spans="1:25" ht="14.25" x14ac:dyDescent="0.45">
      <c r="A10" s="2"/>
      <c r="B10" s="2"/>
      <c r="C10" s="2"/>
      <c r="D10" s="2"/>
      <c r="E10" s="2"/>
      <c r="F10" s="2"/>
      <c r="G10" s="2"/>
      <c r="H10" s="2"/>
      <c r="I10" s="2"/>
      <c r="J10" s="2"/>
      <c r="K10" s="2"/>
      <c r="L10" s="2"/>
      <c r="M10" s="2"/>
      <c r="N10" s="2"/>
      <c r="O10" s="2"/>
      <c r="P10" s="2"/>
      <c r="Q10" s="2"/>
      <c r="R10" s="2"/>
      <c r="S10" s="2"/>
      <c r="T10" s="2"/>
      <c r="U10" s="2"/>
      <c r="V10" s="2"/>
      <c r="W10" s="2"/>
      <c r="X10" s="2"/>
      <c r="Y10" s="2"/>
    </row>
    <row r="11" spans="1:25" ht="14.25" x14ac:dyDescent="0.45">
      <c r="A11" s="2"/>
      <c r="B11" s="2"/>
      <c r="C11" s="2"/>
      <c r="D11" s="2"/>
      <c r="E11" s="2"/>
      <c r="F11" s="2"/>
      <c r="G11" s="2"/>
      <c r="H11" s="2"/>
      <c r="I11" s="2"/>
      <c r="J11" s="2"/>
      <c r="K11" s="2"/>
      <c r="L11" s="2"/>
      <c r="M11" s="2"/>
      <c r="N11" s="2"/>
      <c r="O11" s="2"/>
      <c r="P11" s="2"/>
      <c r="Q11" s="2"/>
      <c r="R11" s="2"/>
      <c r="S11" s="2"/>
      <c r="T11" s="2"/>
      <c r="U11" s="2"/>
      <c r="V11" s="2"/>
      <c r="W11" s="2"/>
      <c r="X11" s="2"/>
      <c r="Y11" s="2"/>
    </row>
    <row r="12" spans="1:25" ht="14.25" x14ac:dyDescent="0.45">
      <c r="A12" s="2"/>
      <c r="B12" s="2"/>
      <c r="C12" s="2"/>
      <c r="D12" s="2"/>
      <c r="E12" s="2"/>
      <c r="F12" s="2"/>
      <c r="G12" s="2"/>
      <c r="H12" s="2"/>
      <c r="I12" s="2"/>
      <c r="J12" s="2"/>
      <c r="K12" s="2"/>
      <c r="L12" s="2"/>
      <c r="M12" s="2"/>
      <c r="N12" s="2"/>
      <c r="O12" s="2"/>
      <c r="P12" s="2"/>
      <c r="Q12" s="2"/>
      <c r="R12" s="2"/>
      <c r="S12" s="2"/>
      <c r="T12" s="2"/>
      <c r="U12" s="2"/>
      <c r="V12" s="2"/>
      <c r="W12" s="2"/>
      <c r="X12" s="2"/>
      <c r="Y12" s="2"/>
    </row>
    <row r="13" spans="1:25" ht="14.25" x14ac:dyDescent="0.45">
      <c r="A13" s="2"/>
      <c r="B13" s="2"/>
      <c r="C13" s="2"/>
      <c r="D13" s="2"/>
      <c r="E13" s="2"/>
      <c r="F13" s="2"/>
      <c r="G13" s="2"/>
      <c r="H13" s="2"/>
      <c r="I13" s="2"/>
      <c r="J13" s="2"/>
      <c r="K13" s="2"/>
      <c r="L13" s="2"/>
      <c r="M13" s="2"/>
      <c r="N13" s="2"/>
      <c r="O13" s="2"/>
      <c r="P13" s="2"/>
      <c r="Q13" s="2"/>
      <c r="R13" s="2"/>
      <c r="S13" s="2"/>
      <c r="T13" s="2"/>
      <c r="U13" s="2"/>
      <c r="V13" s="2"/>
      <c r="W13" s="2"/>
      <c r="X13" s="2"/>
      <c r="Y13" s="2"/>
    </row>
    <row r="14" spans="1:25" ht="14.25" x14ac:dyDescent="0.45">
      <c r="A14" s="2"/>
      <c r="B14" s="2"/>
      <c r="C14" s="2"/>
      <c r="D14" s="2"/>
      <c r="E14" s="2"/>
      <c r="F14" s="2"/>
      <c r="G14" s="2"/>
      <c r="H14" s="2"/>
      <c r="I14" s="2"/>
      <c r="J14" s="2"/>
      <c r="K14" s="2"/>
      <c r="L14" s="2"/>
      <c r="M14" s="2"/>
      <c r="N14" s="2"/>
      <c r="O14" s="2"/>
      <c r="P14" s="2"/>
      <c r="Q14" s="2"/>
      <c r="R14" s="2"/>
      <c r="S14" s="2"/>
      <c r="T14" s="2"/>
      <c r="U14" s="2"/>
      <c r="V14" s="2"/>
      <c r="W14" s="2"/>
      <c r="X14" s="2"/>
      <c r="Y14" s="2"/>
    </row>
    <row r="15" spans="1:25" ht="14.25" x14ac:dyDescent="0.45">
      <c r="A15" s="2"/>
      <c r="B15" s="2"/>
      <c r="C15" s="2"/>
      <c r="D15" s="2"/>
      <c r="E15" s="2"/>
      <c r="F15" s="2"/>
      <c r="G15" s="2"/>
      <c r="H15" s="2"/>
      <c r="I15" s="2"/>
      <c r="J15" s="2"/>
      <c r="K15" s="2"/>
      <c r="L15" s="2"/>
      <c r="M15" s="2"/>
      <c r="N15" s="2"/>
      <c r="O15" s="2"/>
      <c r="P15" s="2"/>
      <c r="Q15" s="2"/>
      <c r="R15" s="2"/>
      <c r="S15" s="2"/>
      <c r="T15" s="2"/>
      <c r="U15" s="2"/>
      <c r="V15" s="2"/>
      <c r="W15" s="2"/>
      <c r="X15" s="2"/>
      <c r="Y15" s="2"/>
    </row>
    <row r="16" spans="1:25" ht="14.25" x14ac:dyDescent="0.45">
      <c r="A16" s="2"/>
      <c r="B16" s="2"/>
      <c r="C16" s="2"/>
      <c r="D16" s="2"/>
      <c r="E16" s="2"/>
      <c r="F16" s="2"/>
      <c r="G16" s="2"/>
      <c r="H16" s="2"/>
      <c r="I16" s="2"/>
      <c r="J16" s="2"/>
      <c r="K16" s="2"/>
      <c r="L16" s="2"/>
      <c r="M16" s="2"/>
      <c r="N16" s="2"/>
      <c r="O16" s="2"/>
      <c r="P16" s="2"/>
      <c r="Q16" s="2"/>
      <c r="R16" s="2"/>
      <c r="S16" s="2"/>
      <c r="T16" s="2"/>
      <c r="U16" s="2"/>
      <c r="V16" s="2"/>
      <c r="W16" s="2"/>
      <c r="X16" s="2"/>
      <c r="Y16" s="2"/>
    </row>
    <row r="17" spans="1:25" ht="14.25" x14ac:dyDescent="0.45">
      <c r="A17" s="2"/>
      <c r="B17" s="2"/>
      <c r="C17" s="2"/>
      <c r="D17" s="2"/>
      <c r="E17" s="2"/>
      <c r="F17" s="2"/>
      <c r="G17" s="2"/>
      <c r="H17" s="2"/>
      <c r="I17" s="2"/>
      <c r="J17" s="2"/>
      <c r="K17" s="2"/>
      <c r="L17" s="2"/>
      <c r="M17" s="2"/>
      <c r="N17" s="2"/>
      <c r="O17" s="2"/>
      <c r="P17" s="2"/>
      <c r="Q17" s="2"/>
      <c r="R17" s="2"/>
      <c r="S17" s="2"/>
      <c r="T17" s="2"/>
      <c r="U17" s="2"/>
      <c r="V17" s="2"/>
      <c r="W17" s="2"/>
      <c r="X17" s="2"/>
      <c r="Y17" s="2"/>
    </row>
    <row r="18" spans="1:25" ht="14.25" x14ac:dyDescent="0.45">
      <c r="A18" s="2"/>
      <c r="B18" s="2"/>
      <c r="C18" s="2"/>
      <c r="D18" s="2"/>
      <c r="E18" s="2"/>
      <c r="F18" s="2"/>
      <c r="G18" s="2"/>
      <c r="H18" s="2"/>
      <c r="I18" s="2"/>
      <c r="J18" s="2"/>
      <c r="K18" s="2"/>
      <c r="L18" s="2"/>
      <c r="M18" s="2"/>
      <c r="N18" s="2"/>
      <c r="O18" s="2"/>
      <c r="P18" s="2"/>
      <c r="Q18" s="2"/>
      <c r="R18" s="2"/>
      <c r="S18" s="2"/>
      <c r="T18" s="2"/>
      <c r="U18" s="2"/>
      <c r="V18" s="2"/>
      <c r="W18" s="2"/>
      <c r="X18" s="2"/>
      <c r="Y18" s="2"/>
    </row>
    <row r="19" spans="1:25" ht="14.25" x14ac:dyDescent="0.45">
      <c r="A19" s="2"/>
      <c r="B19" s="2"/>
      <c r="C19" s="2"/>
      <c r="D19" s="2"/>
      <c r="E19" s="2"/>
      <c r="F19" s="2"/>
      <c r="G19" s="2"/>
      <c r="H19" s="2"/>
      <c r="I19" s="2"/>
      <c r="J19" s="2"/>
      <c r="K19" s="2"/>
      <c r="L19" s="2"/>
      <c r="M19" s="2"/>
      <c r="N19" s="2"/>
      <c r="O19" s="2"/>
      <c r="P19" s="2"/>
      <c r="Q19" s="2"/>
      <c r="R19" s="2"/>
      <c r="S19" s="2"/>
      <c r="T19" s="2"/>
      <c r="U19" s="2"/>
      <c r="V19" s="2"/>
      <c r="W19" s="2"/>
      <c r="X19" s="2"/>
      <c r="Y19" s="2"/>
    </row>
    <row r="20" spans="1:25" ht="14.25" x14ac:dyDescent="0.45">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45">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45">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45">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45">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45">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45">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45">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45">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45">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45">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45">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45">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45">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45">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45">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45">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45">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45">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45">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45">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45">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45">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45">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45">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45">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45">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45">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45">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45">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45">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45">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45">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45">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45">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45">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45">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45">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45">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45">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45">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45">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45">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45">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45">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45">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45">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45">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45">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45">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45">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45">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45">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45">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45">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45">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45">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45">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45">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45">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45">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45">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45">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45">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45">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45">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45">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45">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45">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45">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45">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45">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45">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45">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45">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45">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45">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45">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45">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45">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4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4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4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4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4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4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4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4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4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4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4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4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4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4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4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4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4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4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4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4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4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4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4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4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4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4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4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4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4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4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4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4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4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4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4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4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4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4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4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4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4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4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4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4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4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4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4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4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4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4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4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4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4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4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4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4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4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4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4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4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4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4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4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4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4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4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4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4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4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4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4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4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4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4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4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4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4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4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4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4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4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4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4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4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4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4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4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4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4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4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4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4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4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4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4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4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4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4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4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4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4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4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4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4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4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4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4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4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4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4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4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4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4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4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4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4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4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4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4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4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4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4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4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4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4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4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4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4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4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4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4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4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4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4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4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4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4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4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4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4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4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4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4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4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4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4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4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4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4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4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4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4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4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4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4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4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4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4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4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4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4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4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4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4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4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4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4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4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4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4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4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4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4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4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4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4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4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4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4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4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4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4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4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4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4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4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4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4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4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4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4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4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4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4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4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4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4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4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4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4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4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4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4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4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4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4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4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4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4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4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4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4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4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4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4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4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4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4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4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4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4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4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4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4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4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4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4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4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4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4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4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4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4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4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4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4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4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4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4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4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4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4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4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4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4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4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4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4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4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4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4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4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4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4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4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4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4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4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4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4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4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4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4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4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4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4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4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4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4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4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4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4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4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4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4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4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4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4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4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4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4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4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4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4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4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4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4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4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4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4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4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4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4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4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4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4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4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4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4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4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4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4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4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4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4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4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4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4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4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4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4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4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4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4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4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4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4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4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4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4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4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4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4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4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4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4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4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4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4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4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4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4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4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4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4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4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4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4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4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4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4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4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4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4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4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4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4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4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4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4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4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4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4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4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4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4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4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4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4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4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4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4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4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4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4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4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4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4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4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4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4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4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4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4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4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4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4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4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4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4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4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4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4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4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4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4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4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4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4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4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4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4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4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4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4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4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4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4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4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4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4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4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4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4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4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4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4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4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4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4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4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4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4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4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4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4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4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4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4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4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4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4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4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4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4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4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4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4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4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4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4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4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4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4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4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4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4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4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4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4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4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4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4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4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4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4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4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4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4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4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4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4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4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4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4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4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4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4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4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4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4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4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4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4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4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4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4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4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4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4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4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4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4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4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4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4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4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4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4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4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4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4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4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4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4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4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4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4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4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4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4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4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4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4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4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4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4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4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4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4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4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4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4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4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4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4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4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4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4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4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4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4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4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4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4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4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4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4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4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4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4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4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4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4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4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4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4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4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4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4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4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4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4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4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4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4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4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4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4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4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4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4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4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4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4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4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4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4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4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4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4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4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4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4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4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4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4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4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4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4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4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4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4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4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4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4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4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4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4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4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4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4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4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4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4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4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4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4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4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4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4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4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4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4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4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4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4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4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4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4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4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4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4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4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4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4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4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4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4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4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4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4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4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4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4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4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4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4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4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4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4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4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4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4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4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4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4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4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4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4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4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4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4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4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4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4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4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4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4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4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4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4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4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4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4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4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4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4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4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4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4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4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4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4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4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4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4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4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4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4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4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4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4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4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4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4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4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4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4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4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4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4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4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4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4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4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4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4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4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4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4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4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4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4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4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4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4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4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4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4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4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4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4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4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4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4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4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4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4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4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4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4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4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4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4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4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4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4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4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4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4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4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4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4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4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4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4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4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4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4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4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4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4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4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4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4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4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4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4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4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4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4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4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4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4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4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4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4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4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4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4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4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4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4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4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4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4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4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4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4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4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4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4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4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4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4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4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4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4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4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4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4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4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4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4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4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4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4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4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4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4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4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4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4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4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4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4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4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4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4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4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4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4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4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4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4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4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4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4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4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4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4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4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4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4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4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4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4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4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4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4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4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4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4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4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4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4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4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4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4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4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4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4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4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4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4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4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4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4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4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4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4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4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4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4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4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4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4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4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4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4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4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4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4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4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4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4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4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4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4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4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4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4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4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4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4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4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4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4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4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4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4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4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4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4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4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4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4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4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4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4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4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4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4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4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4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4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4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4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4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4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4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4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4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4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4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4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4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4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4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4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4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4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4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4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4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4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4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4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4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4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4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4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4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4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4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4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4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4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4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45">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4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E1" zoomScale="70" zoomScaleNormal="70" workbookViewId="0">
      <selection activeCell="N2" sqref="N2"/>
    </sheetView>
  </sheetViews>
  <sheetFormatPr defaultColWidth="14.46484375" defaultRowHeight="15" customHeight="1" x14ac:dyDescent="0.45"/>
  <cols>
    <col min="1" max="1" width="15.46484375" customWidth="1"/>
    <col min="2" max="2" width="10.796875" customWidth="1"/>
    <col min="3" max="3" width="13.796875" customWidth="1"/>
    <col min="4" max="4" width="16.9296875" customWidth="1"/>
    <col min="5" max="5" width="12.265625" customWidth="1"/>
    <col min="6" max="6" width="15.33203125" customWidth="1"/>
    <col min="7" max="7" width="10.46484375" customWidth="1"/>
    <col min="8" max="8" width="10.19921875" customWidth="1"/>
    <col min="9" max="9" width="11.46484375" customWidth="1"/>
    <col min="10" max="10" width="18" customWidth="1"/>
    <col min="11" max="11" width="8.46484375" customWidth="1"/>
    <col min="12" max="12" width="19.265625" customWidth="1"/>
    <col min="13" max="13" width="16.265625" customWidth="1"/>
    <col min="14" max="14" width="14.9296875" customWidth="1"/>
    <col min="15" max="15" width="9.46484375" customWidth="1"/>
    <col min="16" max="16" width="14.53125" customWidth="1"/>
    <col min="17" max="17" width="9.53125" customWidth="1"/>
    <col min="18" max="18" width="10.796875" customWidth="1"/>
    <col min="19" max="19" width="16.796875" customWidth="1"/>
    <col min="20" max="20" width="8.73046875" customWidth="1"/>
    <col min="21" max="21" width="13.19921875" customWidth="1"/>
    <col min="22" max="22" width="8.73046875" customWidth="1"/>
    <col min="23" max="23" width="21.06640625" customWidth="1"/>
    <col min="24" max="26" width="8.73046875" customWidth="1"/>
  </cols>
  <sheetData>
    <row r="1" spans="1:26" ht="14.25" x14ac:dyDescent="0.45">
      <c r="A1" s="3" t="s">
        <v>2</v>
      </c>
      <c r="B1" s="3" t="s">
        <v>3</v>
      </c>
      <c r="C1" s="3" t="s">
        <v>4</v>
      </c>
      <c r="D1" s="3" t="s">
        <v>5</v>
      </c>
      <c r="E1" s="3" t="s">
        <v>6</v>
      </c>
      <c r="F1" s="3" t="s">
        <v>7</v>
      </c>
      <c r="G1" s="3" t="s">
        <v>8</v>
      </c>
      <c r="H1" s="3" t="s">
        <v>9</v>
      </c>
      <c r="I1" s="3" t="s">
        <v>10</v>
      </c>
      <c r="J1" s="3" t="s">
        <v>11</v>
      </c>
      <c r="K1" s="3" t="s">
        <v>12</v>
      </c>
      <c r="L1" s="3" t="s">
        <v>13</v>
      </c>
      <c r="M1" s="3" t="s">
        <v>14</v>
      </c>
      <c r="N1" s="3" t="s">
        <v>15</v>
      </c>
      <c r="O1" s="8" t="s">
        <v>404</v>
      </c>
      <c r="P1" s="8" t="s">
        <v>401</v>
      </c>
      <c r="Q1" s="8" t="s">
        <v>402</v>
      </c>
      <c r="R1" s="8" t="s">
        <v>403</v>
      </c>
      <c r="S1" s="14" t="s">
        <v>405</v>
      </c>
      <c r="T1" s="3"/>
      <c r="U1" s="3"/>
      <c r="V1" s="3"/>
      <c r="W1" s="3"/>
      <c r="X1" s="3"/>
      <c r="Y1" s="3"/>
      <c r="Z1" s="3"/>
    </row>
    <row r="2" spans="1:26" ht="14.25" x14ac:dyDescent="0.45">
      <c r="A2" s="4" t="s">
        <v>16</v>
      </c>
      <c r="B2" s="5">
        <v>45393</v>
      </c>
      <c r="C2" s="4" t="s">
        <v>17</v>
      </c>
      <c r="D2" s="4" t="s">
        <v>18</v>
      </c>
      <c r="E2" s="4" t="s">
        <v>19</v>
      </c>
      <c r="F2" s="4" t="s">
        <v>20</v>
      </c>
      <c r="G2" s="4" t="s">
        <v>21</v>
      </c>
      <c r="H2" s="12">
        <v>300</v>
      </c>
      <c r="I2" s="4">
        <v>249.99</v>
      </c>
      <c r="J2" s="4" t="s">
        <v>22</v>
      </c>
      <c r="K2" s="4" t="s">
        <v>23</v>
      </c>
      <c r="L2" s="4" t="s">
        <v>24</v>
      </c>
      <c r="M2" s="5">
        <v>44425</v>
      </c>
      <c r="N2" s="12">
        <f>H2*10</f>
        <v>3000</v>
      </c>
      <c r="O2" s="9">
        <f ca="1">TODAY()</f>
        <v>46106</v>
      </c>
      <c r="P2" s="10">
        <f ca="1">NOW()</f>
        <v>46106.913759606483</v>
      </c>
      <c r="Q2" s="11">
        <f>DATEDIF(M2,B2,"M")</f>
        <v>31</v>
      </c>
      <c r="R2" s="11">
        <f>DAY(EOMONTH(B2,0))</f>
        <v>30</v>
      </c>
      <c r="S2" s="13" t="str">
        <f t="shared" ref="S2:S65" si="0">IF(N2&gt;2000,"high-value","normal")</f>
        <v>high-value</v>
      </c>
      <c r="U2" s="27" t="s">
        <v>412</v>
      </c>
      <c r="W2" s="26" t="s">
        <v>413</v>
      </c>
    </row>
    <row r="3" spans="1:26" ht="14.25" x14ac:dyDescent="0.45">
      <c r="A3" s="4" t="s">
        <v>25</v>
      </c>
      <c r="B3" s="5">
        <v>45396</v>
      </c>
      <c r="C3" s="4" t="s">
        <v>26</v>
      </c>
      <c r="D3" s="4" t="s">
        <v>27</v>
      </c>
      <c r="E3" s="4" t="s">
        <v>19</v>
      </c>
      <c r="F3" s="4" t="s">
        <v>20</v>
      </c>
      <c r="G3" s="4" t="s">
        <v>21</v>
      </c>
      <c r="H3" s="4">
        <v>3</v>
      </c>
      <c r="I3" s="4">
        <v>249.99</v>
      </c>
      <c r="J3" s="4" t="s">
        <v>28</v>
      </c>
      <c r="K3" s="4" t="s">
        <v>23</v>
      </c>
      <c r="L3" s="4" t="s">
        <v>29</v>
      </c>
      <c r="M3" s="5">
        <v>44575</v>
      </c>
      <c r="N3" s="4">
        <v>749.97</v>
      </c>
      <c r="O3" s="9">
        <f t="shared" ref="O3:O66" ca="1" si="1">TODAY()</f>
        <v>46106</v>
      </c>
      <c r="P3" s="10">
        <f t="shared" ref="P3:P66" ca="1" si="2">NOW()</f>
        <v>46106.913759606483</v>
      </c>
      <c r="Q3" s="11">
        <f t="shared" ref="Q3:Q66" si="3">DATEDIF(M3,B3,"M")</f>
        <v>27</v>
      </c>
      <c r="R3" s="11">
        <f t="shared" ref="R3:R66" si="4">DAY(EOMONTH(B3,0))</f>
        <v>30</v>
      </c>
      <c r="S3" s="13" t="str">
        <f t="shared" si="0"/>
        <v>normal</v>
      </c>
      <c r="U3" s="28" t="str">
        <f>LEFT(E2,3)</f>
        <v>P00</v>
      </c>
      <c r="W3" s="25">
        <f>COUNTIF(SalesData[Product_Name],F2)</f>
        <v>26</v>
      </c>
    </row>
    <row r="4" spans="1:26" ht="14.25" x14ac:dyDescent="0.45">
      <c r="A4" s="4" t="s">
        <v>30</v>
      </c>
      <c r="B4" s="5">
        <v>45399</v>
      </c>
      <c r="C4" s="4" t="s">
        <v>31</v>
      </c>
      <c r="D4" s="4" t="s">
        <v>32</v>
      </c>
      <c r="E4" s="4" t="s">
        <v>33</v>
      </c>
      <c r="F4" s="4" t="s">
        <v>34</v>
      </c>
      <c r="G4" s="4" t="s">
        <v>35</v>
      </c>
      <c r="H4" s="4">
        <v>3</v>
      </c>
      <c r="I4" s="4">
        <v>59.99</v>
      </c>
      <c r="J4" s="4" t="s">
        <v>36</v>
      </c>
      <c r="K4" s="4" t="s">
        <v>37</v>
      </c>
      <c r="L4" s="4" t="s">
        <v>38</v>
      </c>
      <c r="M4" s="5">
        <v>45262</v>
      </c>
      <c r="N4" s="4">
        <v>179.97</v>
      </c>
      <c r="O4" s="9">
        <f t="shared" ca="1" si="1"/>
        <v>46106</v>
      </c>
      <c r="P4" s="10">
        <f t="shared" ca="1" si="2"/>
        <v>46106.913759606483</v>
      </c>
      <c r="Q4" s="11">
        <f t="shared" si="3"/>
        <v>4</v>
      </c>
      <c r="R4" s="11">
        <f t="shared" si="4"/>
        <v>30</v>
      </c>
      <c r="S4" s="13" t="str">
        <f t="shared" si="0"/>
        <v>normal</v>
      </c>
      <c r="U4" s="24"/>
      <c r="W4" s="25">
        <f>COUNTIF(SalesData[Product_Name],F3)</f>
        <v>26</v>
      </c>
    </row>
    <row r="5" spans="1:26" ht="14.25" x14ac:dyDescent="0.45">
      <c r="A5" s="4" t="s">
        <v>39</v>
      </c>
      <c r="B5" s="5">
        <v>45400</v>
      </c>
      <c r="C5" s="4" t="s">
        <v>40</v>
      </c>
      <c r="D5" s="4" t="s">
        <v>41</v>
      </c>
      <c r="E5" s="4" t="s">
        <v>33</v>
      </c>
      <c r="F5" s="4" t="s">
        <v>34</v>
      </c>
      <c r="G5" s="4" t="s">
        <v>35</v>
      </c>
      <c r="H5" s="4">
        <v>3</v>
      </c>
      <c r="I5" s="4">
        <v>59.99</v>
      </c>
      <c r="J5" s="4" t="s">
        <v>22</v>
      </c>
      <c r="K5" s="4" t="s">
        <v>42</v>
      </c>
      <c r="L5" s="4" t="s">
        <v>29</v>
      </c>
      <c r="M5" s="5">
        <v>45114</v>
      </c>
      <c r="N5" s="4">
        <v>179.97</v>
      </c>
      <c r="O5" s="9">
        <f t="shared" ca="1" si="1"/>
        <v>46106</v>
      </c>
      <c r="P5" s="10">
        <f t="shared" ca="1" si="2"/>
        <v>46106.913759606483</v>
      </c>
      <c r="Q5" s="11">
        <f t="shared" si="3"/>
        <v>9</v>
      </c>
      <c r="R5" s="11">
        <f t="shared" si="4"/>
        <v>30</v>
      </c>
      <c r="S5" s="13" t="str">
        <f t="shared" si="0"/>
        <v>normal</v>
      </c>
      <c r="U5" s="23" t="str">
        <f>LEFT(D2,1)&amp;LEFT(MID(D2,FIND(" ",D2)+1,10),1)</f>
        <v>PB</v>
      </c>
      <c r="W5" s="25">
        <f>COUNTIF(SalesData[Product_Name],F4)</f>
        <v>29</v>
      </c>
    </row>
    <row r="6" spans="1:26" ht="14.25" x14ac:dyDescent="0.45">
      <c r="A6" s="4" t="s">
        <v>43</v>
      </c>
      <c r="B6" s="5">
        <v>45400</v>
      </c>
      <c r="C6" s="4" t="s">
        <v>44</v>
      </c>
      <c r="D6" s="4" t="s">
        <v>45</v>
      </c>
      <c r="E6" s="4" t="s">
        <v>46</v>
      </c>
      <c r="F6" s="4" t="s">
        <v>47</v>
      </c>
      <c r="G6" s="4" t="s">
        <v>48</v>
      </c>
      <c r="H6" s="4">
        <v>5</v>
      </c>
      <c r="I6" s="4">
        <v>149.99</v>
      </c>
      <c r="J6" s="4" t="s">
        <v>28</v>
      </c>
      <c r="K6" s="4" t="s">
        <v>42</v>
      </c>
      <c r="L6" s="4" t="s">
        <v>29</v>
      </c>
      <c r="M6" s="5">
        <v>45295</v>
      </c>
      <c r="N6" s="4">
        <v>749.95</v>
      </c>
      <c r="O6" s="9">
        <f t="shared" ca="1" si="1"/>
        <v>46106</v>
      </c>
      <c r="P6" s="10">
        <f t="shared" ca="1" si="2"/>
        <v>46106.913759606483</v>
      </c>
      <c r="Q6" s="11">
        <f t="shared" si="3"/>
        <v>3</v>
      </c>
      <c r="R6" s="11">
        <f t="shared" si="4"/>
        <v>30</v>
      </c>
      <c r="S6" s="13" t="str">
        <f t="shared" si="0"/>
        <v>normal</v>
      </c>
      <c r="U6" s="23" t="str">
        <f t="shared" ref="U6:U14" si="5">LEFT(D3,1)&amp;LEFT(MID(D3,FIND(" ",D3)+1,10),1)</f>
        <v>JJ</v>
      </c>
      <c r="W6" s="25">
        <f>COUNTIF(SalesData[Product_Name],F5)</f>
        <v>29</v>
      </c>
    </row>
    <row r="7" spans="1:26" ht="14.25" x14ac:dyDescent="0.45">
      <c r="A7" s="4" t="s">
        <v>49</v>
      </c>
      <c r="B7" s="5">
        <v>45403</v>
      </c>
      <c r="C7" s="4" t="s">
        <v>50</v>
      </c>
      <c r="D7" s="4" t="s">
        <v>51</v>
      </c>
      <c r="E7" s="4" t="s">
        <v>33</v>
      </c>
      <c r="F7" s="4" t="s">
        <v>34</v>
      </c>
      <c r="G7" s="4" t="s">
        <v>35</v>
      </c>
      <c r="H7" s="4">
        <v>2</v>
      </c>
      <c r="I7" s="4">
        <v>59.99</v>
      </c>
      <c r="J7" s="4" t="s">
        <v>22</v>
      </c>
      <c r="K7" s="4" t="s">
        <v>52</v>
      </c>
      <c r="L7" s="4" t="s">
        <v>38</v>
      </c>
      <c r="M7" s="5">
        <v>44746</v>
      </c>
      <c r="N7" s="4">
        <v>119.98</v>
      </c>
      <c r="O7" s="9">
        <f t="shared" ca="1" si="1"/>
        <v>46106</v>
      </c>
      <c r="P7" s="10">
        <f t="shared" ca="1" si="2"/>
        <v>46106.913759606483</v>
      </c>
      <c r="Q7" s="11">
        <f t="shared" si="3"/>
        <v>21</v>
      </c>
      <c r="R7" s="11">
        <f t="shared" si="4"/>
        <v>30</v>
      </c>
      <c r="S7" s="13" t="str">
        <f t="shared" si="0"/>
        <v>normal</v>
      </c>
      <c r="U7" s="23" t="str">
        <f t="shared" si="5"/>
        <v>KS</v>
      </c>
      <c r="W7" s="25">
        <f>COUNTIF(SalesData[Product_Name],F6)</f>
        <v>35</v>
      </c>
    </row>
    <row r="8" spans="1:26" ht="14.25" x14ac:dyDescent="0.45">
      <c r="A8" s="4" t="s">
        <v>53</v>
      </c>
      <c r="B8" s="5">
        <v>45403</v>
      </c>
      <c r="C8" s="4" t="s">
        <v>50</v>
      </c>
      <c r="D8" s="4" t="s">
        <v>51</v>
      </c>
      <c r="E8" s="4" t="s">
        <v>54</v>
      </c>
      <c r="F8" s="4" t="s">
        <v>55</v>
      </c>
      <c r="G8" s="4" t="s">
        <v>21</v>
      </c>
      <c r="H8" s="4">
        <v>5</v>
      </c>
      <c r="I8" s="4">
        <v>149.99</v>
      </c>
      <c r="J8" s="4" t="s">
        <v>28</v>
      </c>
      <c r="K8" s="4" t="s">
        <v>23</v>
      </c>
      <c r="L8" s="4" t="s">
        <v>38</v>
      </c>
      <c r="M8" s="5">
        <v>44418</v>
      </c>
      <c r="N8" s="4">
        <v>749.95</v>
      </c>
      <c r="O8" s="9">
        <f t="shared" ca="1" si="1"/>
        <v>46106</v>
      </c>
      <c r="P8" s="10">
        <f t="shared" ca="1" si="2"/>
        <v>46106.913759606483</v>
      </c>
      <c r="Q8" s="11">
        <f t="shared" si="3"/>
        <v>32</v>
      </c>
      <c r="R8" s="11">
        <f t="shared" si="4"/>
        <v>30</v>
      </c>
      <c r="S8" s="13" t="str">
        <f t="shared" si="0"/>
        <v>normal</v>
      </c>
      <c r="U8" s="23" t="str">
        <f t="shared" si="5"/>
        <v>KB</v>
      </c>
      <c r="W8" s="25">
        <f>COUNTIF(SalesData[Product_Name],F7)</f>
        <v>29</v>
      </c>
    </row>
    <row r="9" spans="1:26" ht="14.25" x14ac:dyDescent="0.45">
      <c r="A9" s="4" t="s">
        <v>56</v>
      </c>
      <c r="B9" s="5">
        <v>45403</v>
      </c>
      <c r="C9" s="4" t="s">
        <v>57</v>
      </c>
      <c r="D9" s="4" t="s">
        <v>58</v>
      </c>
      <c r="E9" s="4" t="s">
        <v>33</v>
      </c>
      <c r="F9" s="4" t="s">
        <v>34</v>
      </c>
      <c r="G9" s="4" t="s">
        <v>35</v>
      </c>
      <c r="H9" s="4">
        <v>3</v>
      </c>
      <c r="I9" s="4">
        <v>59.99</v>
      </c>
      <c r="J9" s="4" t="s">
        <v>59</v>
      </c>
      <c r="K9" s="4" t="s">
        <v>37</v>
      </c>
      <c r="L9" s="4" t="s">
        <v>24</v>
      </c>
      <c r="M9" s="5">
        <v>45007</v>
      </c>
      <c r="N9" s="4">
        <v>179.97</v>
      </c>
      <c r="O9" s="9">
        <f t="shared" ca="1" si="1"/>
        <v>46106</v>
      </c>
      <c r="P9" s="10">
        <f t="shared" ca="1" si="2"/>
        <v>46106.913759606483</v>
      </c>
      <c r="Q9" s="11">
        <f t="shared" si="3"/>
        <v>12</v>
      </c>
      <c r="R9" s="11">
        <f t="shared" si="4"/>
        <v>30</v>
      </c>
      <c r="S9" s="13" t="str">
        <f t="shared" si="0"/>
        <v>normal</v>
      </c>
      <c r="U9" s="23" t="str">
        <f t="shared" si="5"/>
        <v>MB</v>
      </c>
      <c r="W9" s="25">
        <f>COUNTIF(SalesData[Product_Name],F8)</f>
        <v>16</v>
      </c>
    </row>
    <row r="10" spans="1:26" ht="14.25" x14ac:dyDescent="0.45">
      <c r="A10" s="4" t="s">
        <v>60</v>
      </c>
      <c r="B10" s="5">
        <v>45405</v>
      </c>
      <c r="C10" s="4" t="s">
        <v>61</v>
      </c>
      <c r="D10" s="4" t="s">
        <v>62</v>
      </c>
      <c r="E10" s="4" t="s">
        <v>63</v>
      </c>
      <c r="F10" s="4" t="s">
        <v>64</v>
      </c>
      <c r="G10" s="4" t="s">
        <v>21</v>
      </c>
      <c r="H10" s="4">
        <v>3</v>
      </c>
      <c r="I10" s="4">
        <v>899.99</v>
      </c>
      <c r="J10" s="4" t="s">
        <v>36</v>
      </c>
      <c r="K10" s="4" t="s">
        <v>65</v>
      </c>
      <c r="L10" s="4" t="s">
        <v>38</v>
      </c>
      <c r="M10" s="5">
        <v>45299</v>
      </c>
      <c r="N10" s="4">
        <v>2699.97</v>
      </c>
      <c r="O10" s="9">
        <f t="shared" ca="1" si="1"/>
        <v>46106</v>
      </c>
      <c r="P10" s="10">
        <f t="shared" ca="1" si="2"/>
        <v>46106.913759606483</v>
      </c>
      <c r="Q10" s="11">
        <f t="shared" si="3"/>
        <v>3</v>
      </c>
      <c r="R10" s="11">
        <f t="shared" si="4"/>
        <v>30</v>
      </c>
      <c r="S10" s="13" t="str">
        <f t="shared" si="0"/>
        <v>high-value</v>
      </c>
      <c r="U10" s="23" t="str">
        <f t="shared" si="5"/>
        <v>DN</v>
      </c>
      <c r="W10" s="25">
        <f>COUNTIF(SalesData[Product_Name],F9)</f>
        <v>29</v>
      </c>
    </row>
    <row r="11" spans="1:26" ht="14.25" x14ac:dyDescent="0.45">
      <c r="A11" s="4" t="s">
        <v>66</v>
      </c>
      <c r="B11" s="5">
        <v>45408</v>
      </c>
      <c r="C11" s="4" t="s">
        <v>67</v>
      </c>
      <c r="D11" s="4" t="s">
        <v>68</v>
      </c>
      <c r="E11" s="4" t="s">
        <v>33</v>
      </c>
      <c r="F11" s="4" t="s">
        <v>34</v>
      </c>
      <c r="G11" s="4" t="s">
        <v>35</v>
      </c>
      <c r="H11" s="4">
        <v>3</v>
      </c>
      <c r="I11" s="4">
        <v>59.99</v>
      </c>
      <c r="J11" s="4" t="s">
        <v>22</v>
      </c>
      <c r="K11" s="4" t="s">
        <v>52</v>
      </c>
      <c r="L11" s="4" t="s">
        <v>29</v>
      </c>
      <c r="M11" s="5">
        <v>45207</v>
      </c>
      <c r="N11" s="4">
        <v>179.97</v>
      </c>
      <c r="O11" s="9">
        <f t="shared" ca="1" si="1"/>
        <v>46106</v>
      </c>
      <c r="P11" s="10">
        <f t="shared" ca="1" si="2"/>
        <v>46106.913759606483</v>
      </c>
      <c r="Q11" s="11">
        <f t="shared" si="3"/>
        <v>6</v>
      </c>
      <c r="R11" s="11">
        <f t="shared" si="4"/>
        <v>30</v>
      </c>
      <c r="S11" s="13" t="str">
        <f t="shared" si="0"/>
        <v>normal</v>
      </c>
      <c r="U11" s="23" t="str">
        <f t="shared" si="5"/>
        <v>DN</v>
      </c>
      <c r="W11" s="25">
        <f>COUNTIF(SalesData[Product_Name],F10)</f>
        <v>24</v>
      </c>
    </row>
    <row r="12" spans="1:26" ht="14.25" x14ac:dyDescent="0.45">
      <c r="A12" s="4" t="s">
        <v>69</v>
      </c>
      <c r="B12" s="5">
        <v>45408</v>
      </c>
      <c r="C12" s="4" t="s">
        <v>70</v>
      </c>
      <c r="D12" s="4" t="s">
        <v>71</v>
      </c>
      <c r="E12" s="4" t="s">
        <v>46</v>
      </c>
      <c r="F12" s="4" t="s">
        <v>47</v>
      </c>
      <c r="G12" s="4" t="s">
        <v>48</v>
      </c>
      <c r="H12" s="4">
        <v>1</v>
      </c>
      <c r="I12" s="4">
        <v>149.99</v>
      </c>
      <c r="J12" s="4" t="s">
        <v>28</v>
      </c>
      <c r="K12" s="4" t="s">
        <v>52</v>
      </c>
      <c r="L12" s="4" t="s">
        <v>38</v>
      </c>
      <c r="M12" s="5">
        <v>45103</v>
      </c>
      <c r="N12" s="4">
        <v>149.99</v>
      </c>
      <c r="O12" s="9">
        <f t="shared" ca="1" si="1"/>
        <v>46106</v>
      </c>
      <c r="P12" s="10">
        <f t="shared" ca="1" si="2"/>
        <v>46106.913759606483</v>
      </c>
      <c r="Q12" s="11">
        <f t="shared" si="3"/>
        <v>10</v>
      </c>
      <c r="R12" s="11">
        <f t="shared" si="4"/>
        <v>30</v>
      </c>
      <c r="S12" s="13" t="str">
        <f t="shared" si="0"/>
        <v>normal</v>
      </c>
      <c r="U12" s="23" t="str">
        <f t="shared" si="5"/>
        <v>CA</v>
      </c>
      <c r="W12" s="25">
        <f>COUNTIF(SalesData[Product_Name],F11)</f>
        <v>29</v>
      </c>
    </row>
    <row r="13" spans="1:26" ht="14.25" x14ac:dyDescent="0.45">
      <c r="A13" s="4" t="s">
        <v>72</v>
      </c>
      <c r="B13" s="5">
        <v>45408</v>
      </c>
      <c r="C13" s="4" t="s">
        <v>40</v>
      </c>
      <c r="D13" s="4" t="s">
        <v>41</v>
      </c>
      <c r="E13" s="4" t="s">
        <v>46</v>
      </c>
      <c r="F13" s="4" t="s">
        <v>47</v>
      </c>
      <c r="G13" s="4" t="s">
        <v>48</v>
      </c>
      <c r="H13" s="4">
        <v>5</v>
      </c>
      <c r="I13" s="4">
        <v>149.99</v>
      </c>
      <c r="J13" s="4" t="s">
        <v>59</v>
      </c>
      <c r="K13" s="4" t="s">
        <v>42</v>
      </c>
      <c r="L13" s="4" t="s">
        <v>24</v>
      </c>
      <c r="M13" s="5">
        <v>44830</v>
      </c>
      <c r="N13" s="4">
        <v>749.95</v>
      </c>
      <c r="O13" s="9">
        <f t="shared" ca="1" si="1"/>
        <v>46106</v>
      </c>
      <c r="P13" s="10">
        <f t="shared" ca="1" si="2"/>
        <v>46106.913759606483</v>
      </c>
      <c r="Q13" s="11">
        <f t="shared" si="3"/>
        <v>19</v>
      </c>
      <c r="R13" s="11">
        <f t="shared" si="4"/>
        <v>30</v>
      </c>
      <c r="S13" s="13" t="str">
        <f t="shared" si="0"/>
        <v>normal</v>
      </c>
      <c r="U13" s="23" t="str">
        <f t="shared" si="5"/>
        <v>RT</v>
      </c>
      <c r="W13" s="25">
        <f>COUNTIF(SalesData[Product_Name],F12)</f>
        <v>35</v>
      </c>
    </row>
    <row r="14" spans="1:26" ht="14.25" x14ac:dyDescent="0.45">
      <c r="A14" s="4" t="s">
        <v>73</v>
      </c>
      <c r="B14" s="5">
        <v>45408</v>
      </c>
      <c r="C14" s="4" t="s">
        <v>74</v>
      </c>
      <c r="D14" s="4" t="s">
        <v>75</v>
      </c>
      <c r="E14" s="4" t="s">
        <v>46</v>
      </c>
      <c r="F14" s="4" t="s">
        <v>47</v>
      </c>
      <c r="G14" s="4" t="s">
        <v>48</v>
      </c>
      <c r="H14" s="4">
        <v>3</v>
      </c>
      <c r="I14" s="4">
        <v>149.99</v>
      </c>
      <c r="J14" s="4" t="s">
        <v>22</v>
      </c>
      <c r="K14" s="4" t="s">
        <v>42</v>
      </c>
      <c r="L14" s="4" t="s">
        <v>29</v>
      </c>
      <c r="M14" s="5">
        <v>44806</v>
      </c>
      <c r="N14" s="4">
        <v>449.97</v>
      </c>
      <c r="O14" s="9">
        <f t="shared" ca="1" si="1"/>
        <v>46106</v>
      </c>
      <c r="P14" s="10">
        <f t="shared" ca="1" si="2"/>
        <v>46106.913759606483</v>
      </c>
      <c r="Q14" s="11">
        <f t="shared" si="3"/>
        <v>19</v>
      </c>
      <c r="R14" s="11">
        <f t="shared" si="4"/>
        <v>30</v>
      </c>
      <c r="S14" s="13" t="str">
        <f t="shared" si="0"/>
        <v>normal</v>
      </c>
      <c r="U14" s="23" t="str">
        <f t="shared" si="5"/>
        <v>KH</v>
      </c>
      <c r="W14" s="25">
        <f>COUNTIF(SalesData[Product_Name],F13)</f>
        <v>35</v>
      </c>
    </row>
    <row r="15" spans="1:26" ht="14.25" x14ac:dyDescent="0.45">
      <c r="A15" s="4" t="s">
        <v>76</v>
      </c>
      <c r="B15" s="5">
        <v>45409</v>
      </c>
      <c r="C15" s="4" t="s">
        <v>77</v>
      </c>
      <c r="D15" s="4" t="s">
        <v>78</v>
      </c>
      <c r="E15" s="4" t="s">
        <v>33</v>
      </c>
      <c r="F15" s="4" t="s">
        <v>34</v>
      </c>
      <c r="G15" s="4" t="s">
        <v>35</v>
      </c>
      <c r="H15" s="4">
        <v>3</v>
      </c>
      <c r="I15" s="4">
        <v>59.99</v>
      </c>
      <c r="J15" s="4" t="s">
        <v>28</v>
      </c>
      <c r="K15" s="4" t="s">
        <v>42</v>
      </c>
      <c r="L15" s="4" t="s">
        <v>38</v>
      </c>
      <c r="M15" s="5">
        <v>45351</v>
      </c>
      <c r="N15" s="4">
        <v>179.97</v>
      </c>
      <c r="O15" s="9">
        <f t="shared" ca="1" si="1"/>
        <v>46106</v>
      </c>
      <c r="P15" s="10">
        <f t="shared" ca="1" si="2"/>
        <v>46106.913759606483</v>
      </c>
      <c r="Q15" s="11">
        <f t="shared" si="3"/>
        <v>1</v>
      </c>
      <c r="R15" s="11">
        <f t="shared" si="4"/>
        <v>30</v>
      </c>
      <c r="S15" s="13" t="str">
        <f t="shared" si="0"/>
        <v>normal</v>
      </c>
    </row>
    <row r="16" spans="1:26" ht="14.25" x14ac:dyDescent="0.45">
      <c r="A16" s="4" t="s">
        <v>79</v>
      </c>
      <c r="B16" s="5">
        <v>45409</v>
      </c>
      <c r="C16" s="4" t="s">
        <v>80</v>
      </c>
      <c r="D16" s="4" t="s">
        <v>81</v>
      </c>
      <c r="E16" s="4" t="s">
        <v>82</v>
      </c>
      <c r="F16" s="4" t="s">
        <v>83</v>
      </c>
      <c r="G16" s="4" t="s">
        <v>21</v>
      </c>
      <c r="H16" s="4">
        <v>3</v>
      </c>
      <c r="I16" s="4">
        <v>699.99</v>
      </c>
      <c r="J16" s="4" t="s">
        <v>28</v>
      </c>
      <c r="K16" s="4" t="s">
        <v>52</v>
      </c>
      <c r="L16" s="4" t="s">
        <v>24</v>
      </c>
      <c r="M16" s="5">
        <v>44577</v>
      </c>
      <c r="N16" s="4">
        <v>2099.9699999999998</v>
      </c>
      <c r="O16" s="9">
        <f t="shared" ca="1" si="1"/>
        <v>46106</v>
      </c>
      <c r="P16" s="10">
        <f t="shared" ca="1" si="2"/>
        <v>46106.913759606483</v>
      </c>
      <c r="Q16" s="11">
        <f t="shared" si="3"/>
        <v>27</v>
      </c>
      <c r="R16" s="11">
        <f t="shared" si="4"/>
        <v>30</v>
      </c>
      <c r="S16" s="13" t="str">
        <f t="shared" si="0"/>
        <v>high-value</v>
      </c>
    </row>
    <row r="17" spans="1:19" ht="14.25" x14ac:dyDescent="0.45">
      <c r="A17" s="4" t="s">
        <v>84</v>
      </c>
      <c r="B17" s="5">
        <v>45409</v>
      </c>
      <c r="C17" s="4" t="s">
        <v>85</v>
      </c>
      <c r="D17" s="4" t="s">
        <v>86</v>
      </c>
      <c r="E17" s="4" t="s">
        <v>63</v>
      </c>
      <c r="F17" s="4" t="s">
        <v>64</v>
      </c>
      <c r="G17" s="4" t="s">
        <v>21</v>
      </c>
      <c r="H17" s="4">
        <v>1</v>
      </c>
      <c r="I17" s="4">
        <v>899.99</v>
      </c>
      <c r="J17" s="4" t="s">
        <v>59</v>
      </c>
      <c r="K17" s="4" t="s">
        <v>42</v>
      </c>
      <c r="L17" s="4" t="s">
        <v>38</v>
      </c>
      <c r="M17" s="5">
        <v>44920</v>
      </c>
      <c r="N17" s="4">
        <v>899.99</v>
      </c>
      <c r="O17" s="9">
        <f t="shared" ca="1" si="1"/>
        <v>46106</v>
      </c>
      <c r="P17" s="10">
        <f t="shared" ca="1" si="2"/>
        <v>46106.913759606483</v>
      </c>
      <c r="Q17" s="11">
        <f t="shared" si="3"/>
        <v>16</v>
      </c>
      <c r="R17" s="11">
        <f t="shared" si="4"/>
        <v>30</v>
      </c>
      <c r="S17" s="13" t="str">
        <f t="shared" si="0"/>
        <v>normal</v>
      </c>
    </row>
    <row r="18" spans="1:19" ht="14.25" x14ac:dyDescent="0.45">
      <c r="A18" s="4" t="s">
        <v>87</v>
      </c>
      <c r="B18" s="5">
        <v>45410</v>
      </c>
      <c r="C18" s="4" t="s">
        <v>88</v>
      </c>
      <c r="D18" s="4" t="s">
        <v>89</v>
      </c>
      <c r="E18" s="4" t="s">
        <v>46</v>
      </c>
      <c r="F18" s="4" t="s">
        <v>47</v>
      </c>
      <c r="G18" s="4" t="s">
        <v>48</v>
      </c>
      <c r="H18" s="4">
        <v>4</v>
      </c>
      <c r="I18" s="4">
        <v>149.99</v>
      </c>
      <c r="J18" s="4" t="s">
        <v>59</v>
      </c>
      <c r="K18" s="4" t="s">
        <v>42</v>
      </c>
      <c r="L18" s="4" t="s">
        <v>29</v>
      </c>
      <c r="M18" s="5">
        <v>45374</v>
      </c>
      <c r="N18" s="4">
        <v>599.96</v>
      </c>
      <c r="O18" s="9">
        <f t="shared" ca="1" si="1"/>
        <v>46106</v>
      </c>
      <c r="P18" s="10">
        <f t="shared" ca="1" si="2"/>
        <v>46106.913759606483</v>
      </c>
      <c r="Q18" s="11">
        <f t="shared" si="3"/>
        <v>1</v>
      </c>
      <c r="R18" s="11">
        <f t="shared" si="4"/>
        <v>30</v>
      </c>
      <c r="S18" s="13" t="str">
        <f t="shared" si="0"/>
        <v>normal</v>
      </c>
    </row>
    <row r="19" spans="1:19" ht="14.25" x14ac:dyDescent="0.45">
      <c r="A19" s="4" t="s">
        <v>90</v>
      </c>
      <c r="B19" s="5">
        <v>45410</v>
      </c>
      <c r="C19" s="4" t="s">
        <v>91</v>
      </c>
      <c r="D19" s="4" t="s">
        <v>92</v>
      </c>
      <c r="E19" s="4" t="s">
        <v>82</v>
      </c>
      <c r="F19" s="4" t="s">
        <v>83</v>
      </c>
      <c r="G19" s="4" t="s">
        <v>21</v>
      </c>
      <c r="H19" s="4">
        <v>2</v>
      </c>
      <c r="I19" s="4">
        <v>699.99</v>
      </c>
      <c r="J19" s="4" t="s">
        <v>22</v>
      </c>
      <c r="K19" s="4" t="s">
        <v>42</v>
      </c>
      <c r="L19" s="4" t="s">
        <v>24</v>
      </c>
      <c r="M19" s="5">
        <v>44781</v>
      </c>
      <c r="N19" s="4">
        <v>1399.98</v>
      </c>
      <c r="O19" s="9">
        <f t="shared" ca="1" si="1"/>
        <v>46106</v>
      </c>
      <c r="P19" s="10">
        <f t="shared" ca="1" si="2"/>
        <v>46106.913759606483</v>
      </c>
      <c r="Q19" s="11">
        <f t="shared" si="3"/>
        <v>20</v>
      </c>
      <c r="R19" s="11">
        <f t="shared" si="4"/>
        <v>30</v>
      </c>
      <c r="S19" s="13" t="str">
        <f t="shared" si="0"/>
        <v>normal</v>
      </c>
    </row>
    <row r="20" spans="1:19" ht="14.25" x14ac:dyDescent="0.45">
      <c r="A20" s="4" t="s">
        <v>93</v>
      </c>
      <c r="B20" s="5">
        <v>45410</v>
      </c>
      <c r="C20" s="4" t="s">
        <v>88</v>
      </c>
      <c r="D20" s="4" t="s">
        <v>89</v>
      </c>
      <c r="E20" s="4" t="s">
        <v>63</v>
      </c>
      <c r="F20" s="4" t="s">
        <v>64</v>
      </c>
      <c r="G20" s="4" t="s">
        <v>21</v>
      </c>
      <c r="H20" s="4">
        <v>4</v>
      </c>
      <c r="I20" s="4">
        <v>899.99</v>
      </c>
      <c r="J20" s="4" t="s">
        <v>28</v>
      </c>
      <c r="K20" s="4" t="s">
        <v>52</v>
      </c>
      <c r="L20" s="4" t="s">
        <v>38</v>
      </c>
      <c r="M20" s="5">
        <v>45327</v>
      </c>
      <c r="N20" s="4">
        <v>3599.96</v>
      </c>
      <c r="O20" s="9">
        <f t="shared" ca="1" si="1"/>
        <v>46106</v>
      </c>
      <c r="P20" s="10">
        <f t="shared" ca="1" si="2"/>
        <v>46106.913759606483</v>
      </c>
      <c r="Q20" s="11">
        <f t="shared" si="3"/>
        <v>2</v>
      </c>
      <c r="R20" s="11">
        <f t="shared" si="4"/>
        <v>30</v>
      </c>
      <c r="S20" s="13" t="str">
        <f t="shared" si="0"/>
        <v>high-value</v>
      </c>
    </row>
    <row r="21" spans="1:19" ht="15.75" customHeight="1" x14ac:dyDescent="0.45">
      <c r="A21" s="4" t="s">
        <v>94</v>
      </c>
      <c r="B21" s="5">
        <v>45410</v>
      </c>
      <c r="C21" s="4" t="s">
        <v>95</v>
      </c>
      <c r="D21" s="4" t="s">
        <v>96</v>
      </c>
      <c r="E21" s="4" t="s">
        <v>19</v>
      </c>
      <c r="F21" s="4" t="s">
        <v>20</v>
      </c>
      <c r="G21" s="4" t="s">
        <v>21</v>
      </c>
      <c r="H21" s="4">
        <v>3</v>
      </c>
      <c r="I21" s="4">
        <v>249.99</v>
      </c>
      <c r="J21" s="4" t="s">
        <v>28</v>
      </c>
      <c r="K21" s="4" t="s">
        <v>42</v>
      </c>
      <c r="L21" s="4" t="s">
        <v>29</v>
      </c>
      <c r="M21" s="5">
        <v>45224</v>
      </c>
      <c r="N21" s="4">
        <v>749.97</v>
      </c>
      <c r="O21" s="9">
        <f t="shared" ca="1" si="1"/>
        <v>46106</v>
      </c>
      <c r="P21" s="10">
        <f t="shared" ca="1" si="2"/>
        <v>46106.913759606483</v>
      </c>
      <c r="Q21" s="11">
        <f t="shared" si="3"/>
        <v>6</v>
      </c>
      <c r="R21" s="11">
        <f t="shared" si="4"/>
        <v>30</v>
      </c>
      <c r="S21" s="13" t="str">
        <f t="shared" si="0"/>
        <v>normal</v>
      </c>
    </row>
    <row r="22" spans="1:19" ht="15.75" customHeight="1" x14ac:dyDescent="0.45">
      <c r="A22" s="4" t="s">
        <v>97</v>
      </c>
      <c r="B22" s="5">
        <v>45412</v>
      </c>
      <c r="C22" s="4" t="s">
        <v>98</v>
      </c>
      <c r="D22" s="4" t="s">
        <v>99</v>
      </c>
      <c r="E22" s="4" t="s">
        <v>82</v>
      </c>
      <c r="F22" s="4" t="s">
        <v>83</v>
      </c>
      <c r="G22" s="4" t="s">
        <v>21</v>
      </c>
      <c r="H22" s="4">
        <v>5</v>
      </c>
      <c r="I22" s="4">
        <v>699.99</v>
      </c>
      <c r="J22" s="4" t="s">
        <v>22</v>
      </c>
      <c r="K22" s="4" t="s">
        <v>52</v>
      </c>
      <c r="L22" s="4" t="s">
        <v>24</v>
      </c>
      <c r="M22" s="5">
        <v>45167</v>
      </c>
      <c r="N22" s="4">
        <v>3499.95</v>
      </c>
      <c r="O22" s="9">
        <f t="shared" ca="1" si="1"/>
        <v>46106</v>
      </c>
      <c r="P22" s="10">
        <f t="shared" ca="1" si="2"/>
        <v>46106.913759606483</v>
      </c>
      <c r="Q22" s="11">
        <f t="shared" si="3"/>
        <v>8</v>
      </c>
      <c r="R22" s="11">
        <f t="shared" si="4"/>
        <v>30</v>
      </c>
      <c r="S22" s="13" t="str">
        <f t="shared" si="0"/>
        <v>high-value</v>
      </c>
    </row>
    <row r="23" spans="1:19" ht="15.75" customHeight="1" x14ac:dyDescent="0.45">
      <c r="A23" s="4" t="s">
        <v>100</v>
      </c>
      <c r="B23" s="5">
        <v>45413</v>
      </c>
      <c r="C23" s="4" t="s">
        <v>101</v>
      </c>
      <c r="D23" s="4" t="s">
        <v>102</v>
      </c>
      <c r="E23" s="4" t="s">
        <v>82</v>
      </c>
      <c r="F23" s="4" t="s">
        <v>83</v>
      </c>
      <c r="G23" s="4" t="s">
        <v>21</v>
      </c>
      <c r="H23" s="4">
        <v>4</v>
      </c>
      <c r="I23" s="4">
        <v>699.99</v>
      </c>
      <c r="J23" s="4" t="s">
        <v>22</v>
      </c>
      <c r="K23" s="4" t="s">
        <v>65</v>
      </c>
      <c r="L23" s="4" t="s">
        <v>38</v>
      </c>
      <c r="M23" s="5">
        <v>44409</v>
      </c>
      <c r="N23" s="4">
        <v>2799.96</v>
      </c>
      <c r="O23" s="9">
        <f t="shared" ca="1" si="1"/>
        <v>46106</v>
      </c>
      <c r="P23" s="10">
        <f t="shared" ca="1" si="2"/>
        <v>46106.913759606483</v>
      </c>
      <c r="Q23" s="11">
        <f t="shared" si="3"/>
        <v>33</v>
      </c>
      <c r="R23" s="11">
        <f t="shared" si="4"/>
        <v>31</v>
      </c>
      <c r="S23" s="13" t="str">
        <f t="shared" si="0"/>
        <v>high-value</v>
      </c>
    </row>
    <row r="24" spans="1:19" ht="15.75" customHeight="1" x14ac:dyDescent="0.45">
      <c r="A24" s="4" t="s">
        <v>103</v>
      </c>
      <c r="B24" s="5">
        <v>45415</v>
      </c>
      <c r="C24" s="4" t="s">
        <v>104</v>
      </c>
      <c r="D24" s="4" t="s">
        <v>105</v>
      </c>
      <c r="E24" s="4" t="s">
        <v>19</v>
      </c>
      <c r="F24" s="4" t="s">
        <v>20</v>
      </c>
      <c r="G24" s="4" t="s">
        <v>21</v>
      </c>
      <c r="H24" s="4">
        <v>4</v>
      </c>
      <c r="I24" s="4">
        <v>249.99</v>
      </c>
      <c r="J24" s="4" t="s">
        <v>36</v>
      </c>
      <c r="K24" s="4" t="s">
        <v>42</v>
      </c>
      <c r="L24" s="4" t="s">
        <v>38</v>
      </c>
      <c r="M24" s="5">
        <v>44468</v>
      </c>
      <c r="N24" s="4">
        <v>999.96</v>
      </c>
      <c r="O24" s="9">
        <f t="shared" ca="1" si="1"/>
        <v>46106</v>
      </c>
      <c r="P24" s="10">
        <f t="shared" ca="1" si="2"/>
        <v>46106.913759606483</v>
      </c>
      <c r="Q24" s="11">
        <f t="shared" si="3"/>
        <v>31</v>
      </c>
      <c r="R24" s="11">
        <f t="shared" si="4"/>
        <v>31</v>
      </c>
      <c r="S24" s="13" t="str">
        <f t="shared" si="0"/>
        <v>normal</v>
      </c>
    </row>
    <row r="25" spans="1:19" ht="15.75" customHeight="1" x14ac:dyDescent="0.45">
      <c r="A25" s="4" t="s">
        <v>106</v>
      </c>
      <c r="B25" s="5">
        <v>45416</v>
      </c>
      <c r="C25" s="4" t="s">
        <v>88</v>
      </c>
      <c r="D25" s="4" t="s">
        <v>89</v>
      </c>
      <c r="E25" s="4" t="s">
        <v>107</v>
      </c>
      <c r="F25" s="4" t="s">
        <v>108</v>
      </c>
      <c r="G25" s="4" t="s">
        <v>48</v>
      </c>
      <c r="H25" s="4">
        <v>4</v>
      </c>
      <c r="I25" s="4">
        <v>299.99</v>
      </c>
      <c r="J25" s="4" t="s">
        <v>22</v>
      </c>
      <c r="K25" s="4" t="s">
        <v>52</v>
      </c>
      <c r="L25" s="4" t="s">
        <v>29</v>
      </c>
      <c r="M25" s="5">
        <v>44716</v>
      </c>
      <c r="N25" s="4">
        <v>1199.96</v>
      </c>
      <c r="O25" s="9">
        <f t="shared" ca="1" si="1"/>
        <v>46106</v>
      </c>
      <c r="P25" s="10">
        <f t="shared" ca="1" si="2"/>
        <v>46106.913759606483</v>
      </c>
      <c r="Q25" s="11">
        <f t="shared" si="3"/>
        <v>23</v>
      </c>
      <c r="R25" s="11">
        <f t="shared" si="4"/>
        <v>31</v>
      </c>
      <c r="S25" s="13" t="str">
        <f t="shared" si="0"/>
        <v>normal</v>
      </c>
    </row>
    <row r="26" spans="1:19" ht="15.75" customHeight="1" x14ac:dyDescent="0.45">
      <c r="A26" s="4" t="s">
        <v>109</v>
      </c>
      <c r="B26" s="5">
        <v>45422</v>
      </c>
      <c r="C26" s="4" t="s">
        <v>110</v>
      </c>
      <c r="D26" s="4" t="s">
        <v>111</v>
      </c>
      <c r="E26" s="4" t="s">
        <v>19</v>
      </c>
      <c r="F26" s="4" t="s">
        <v>20</v>
      </c>
      <c r="G26" s="4" t="s">
        <v>21</v>
      </c>
      <c r="H26" s="4">
        <v>5</v>
      </c>
      <c r="I26" s="4">
        <v>249.99</v>
      </c>
      <c r="J26" s="4" t="s">
        <v>28</v>
      </c>
      <c r="K26" s="4" t="s">
        <v>52</v>
      </c>
      <c r="L26" s="4" t="s">
        <v>38</v>
      </c>
      <c r="M26" s="5">
        <v>44525</v>
      </c>
      <c r="N26" s="4">
        <v>1249.95</v>
      </c>
      <c r="O26" s="9">
        <f t="shared" ca="1" si="1"/>
        <v>46106</v>
      </c>
      <c r="P26" s="10">
        <f t="shared" ca="1" si="2"/>
        <v>46106.913759606483</v>
      </c>
      <c r="Q26" s="11">
        <f t="shared" si="3"/>
        <v>29</v>
      </c>
      <c r="R26" s="11">
        <f t="shared" si="4"/>
        <v>31</v>
      </c>
      <c r="S26" s="13" t="str">
        <f t="shared" si="0"/>
        <v>normal</v>
      </c>
    </row>
    <row r="27" spans="1:19" ht="15.75" customHeight="1" x14ac:dyDescent="0.45">
      <c r="A27" s="4" t="s">
        <v>112</v>
      </c>
      <c r="B27" s="5">
        <v>45424</v>
      </c>
      <c r="C27" s="4" t="s">
        <v>70</v>
      </c>
      <c r="D27" s="4" t="s">
        <v>71</v>
      </c>
      <c r="E27" s="4" t="s">
        <v>107</v>
      </c>
      <c r="F27" s="4" t="s">
        <v>108</v>
      </c>
      <c r="G27" s="4" t="s">
        <v>48</v>
      </c>
      <c r="H27" s="4">
        <v>5</v>
      </c>
      <c r="I27" s="4">
        <v>299.99</v>
      </c>
      <c r="J27" s="4" t="s">
        <v>36</v>
      </c>
      <c r="K27" s="4" t="s">
        <v>65</v>
      </c>
      <c r="L27" s="4" t="s">
        <v>24</v>
      </c>
      <c r="M27" s="5">
        <v>45168</v>
      </c>
      <c r="N27" s="4">
        <v>1499.95</v>
      </c>
      <c r="O27" s="9">
        <f t="shared" ca="1" si="1"/>
        <v>46106</v>
      </c>
      <c r="P27" s="10">
        <f t="shared" ca="1" si="2"/>
        <v>46106.913759606483</v>
      </c>
      <c r="Q27" s="11">
        <f t="shared" si="3"/>
        <v>8</v>
      </c>
      <c r="R27" s="11">
        <f t="shared" si="4"/>
        <v>31</v>
      </c>
      <c r="S27" s="13" t="str">
        <f t="shared" si="0"/>
        <v>normal</v>
      </c>
    </row>
    <row r="28" spans="1:19" ht="15.75" customHeight="1" x14ac:dyDescent="0.45">
      <c r="A28" s="4" t="s">
        <v>113</v>
      </c>
      <c r="B28" s="5">
        <v>45424</v>
      </c>
      <c r="C28" s="4" t="s">
        <v>114</v>
      </c>
      <c r="D28" s="4" t="s">
        <v>115</v>
      </c>
      <c r="E28" s="4" t="s">
        <v>116</v>
      </c>
      <c r="F28" s="4" t="s">
        <v>117</v>
      </c>
      <c r="G28" s="4" t="s">
        <v>35</v>
      </c>
      <c r="H28" s="4">
        <v>3</v>
      </c>
      <c r="I28" s="4">
        <v>79.989999999999995</v>
      </c>
      <c r="J28" s="4" t="s">
        <v>36</v>
      </c>
      <c r="K28" s="4" t="s">
        <v>65</v>
      </c>
      <c r="L28" s="4" t="s">
        <v>29</v>
      </c>
      <c r="M28" s="5">
        <v>45012</v>
      </c>
      <c r="N28" s="4">
        <v>239.97</v>
      </c>
      <c r="O28" s="9">
        <f t="shared" ca="1" si="1"/>
        <v>46106</v>
      </c>
      <c r="P28" s="10">
        <f t="shared" ca="1" si="2"/>
        <v>46106.913759606483</v>
      </c>
      <c r="Q28" s="11">
        <f t="shared" si="3"/>
        <v>13</v>
      </c>
      <c r="R28" s="11">
        <f t="shared" si="4"/>
        <v>31</v>
      </c>
      <c r="S28" s="13" t="str">
        <f t="shared" si="0"/>
        <v>normal</v>
      </c>
    </row>
    <row r="29" spans="1:19" ht="15.75" customHeight="1" x14ac:dyDescent="0.45">
      <c r="A29" s="4" t="s">
        <v>118</v>
      </c>
      <c r="B29" s="5">
        <v>45424</v>
      </c>
      <c r="C29" s="4" t="s">
        <v>101</v>
      </c>
      <c r="D29" s="4" t="s">
        <v>102</v>
      </c>
      <c r="E29" s="4" t="s">
        <v>119</v>
      </c>
      <c r="F29" s="4" t="s">
        <v>120</v>
      </c>
      <c r="G29" s="4" t="s">
        <v>21</v>
      </c>
      <c r="H29" s="4">
        <v>5</v>
      </c>
      <c r="I29" s="4">
        <v>89.99</v>
      </c>
      <c r="J29" s="4" t="s">
        <v>22</v>
      </c>
      <c r="K29" s="4" t="s">
        <v>42</v>
      </c>
      <c r="L29" s="4" t="s">
        <v>29</v>
      </c>
      <c r="M29" s="5">
        <v>44919</v>
      </c>
      <c r="N29" s="4">
        <v>449.95</v>
      </c>
      <c r="O29" s="9">
        <f t="shared" ca="1" si="1"/>
        <v>46106</v>
      </c>
      <c r="P29" s="10">
        <f t="shared" ca="1" si="2"/>
        <v>46106.913759606483</v>
      </c>
      <c r="Q29" s="11">
        <f t="shared" si="3"/>
        <v>16</v>
      </c>
      <c r="R29" s="11">
        <f t="shared" si="4"/>
        <v>31</v>
      </c>
      <c r="S29" s="13" t="str">
        <f t="shared" si="0"/>
        <v>normal</v>
      </c>
    </row>
    <row r="30" spans="1:19" ht="15.75" customHeight="1" x14ac:dyDescent="0.45">
      <c r="A30" s="4" t="s">
        <v>121</v>
      </c>
      <c r="B30" s="5">
        <v>45425</v>
      </c>
      <c r="C30" s="4" t="s">
        <v>122</v>
      </c>
      <c r="D30" s="4" t="s">
        <v>123</v>
      </c>
      <c r="E30" s="4" t="s">
        <v>33</v>
      </c>
      <c r="F30" s="4" t="s">
        <v>34</v>
      </c>
      <c r="G30" s="4" t="s">
        <v>35</v>
      </c>
      <c r="H30" s="4">
        <v>2</v>
      </c>
      <c r="I30" s="4">
        <v>59.99</v>
      </c>
      <c r="J30" s="4" t="s">
        <v>59</v>
      </c>
      <c r="K30" s="4" t="s">
        <v>23</v>
      </c>
      <c r="L30" s="4" t="s">
        <v>38</v>
      </c>
      <c r="M30" s="5">
        <v>45214</v>
      </c>
      <c r="N30" s="4">
        <v>119.98</v>
      </c>
      <c r="O30" s="9">
        <f t="shared" ca="1" si="1"/>
        <v>46106</v>
      </c>
      <c r="P30" s="10">
        <f t="shared" ca="1" si="2"/>
        <v>46106.913759606483</v>
      </c>
      <c r="Q30" s="11">
        <f t="shared" si="3"/>
        <v>6</v>
      </c>
      <c r="R30" s="11">
        <f t="shared" si="4"/>
        <v>31</v>
      </c>
      <c r="S30" s="13" t="str">
        <f t="shared" si="0"/>
        <v>normal</v>
      </c>
    </row>
    <row r="31" spans="1:19" ht="15.75" customHeight="1" x14ac:dyDescent="0.45">
      <c r="A31" s="4" t="s">
        <v>124</v>
      </c>
      <c r="B31" s="5">
        <v>45427</v>
      </c>
      <c r="C31" s="4" t="s">
        <v>125</v>
      </c>
      <c r="D31" s="4" t="s">
        <v>126</v>
      </c>
      <c r="E31" s="4" t="s">
        <v>33</v>
      </c>
      <c r="F31" s="4" t="s">
        <v>34</v>
      </c>
      <c r="G31" s="4" t="s">
        <v>35</v>
      </c>
      <c r="H31" s="4">
        <v>4</v>
      </c>
      <c r="I31" s="4">
        <v>59.99</v>
      </c>
      <c r="J31" s="4" t="s">
        <v>59</v>
      </c>
      <c r="K31" s="4" t="s">
        <v>65</v>
      </c>
      <c r="L31" s="4" t="s">
        <v>38</v>
      </c>
      <c r="M31" s="5">
        <v>44867</v>
      </c>
      <c r="N31" s="4">
        <v>239.96</v>
      </c>
      <c r="O31" s="9">
        <f t="shared" ca="1" si="1"/>
        <v>46106</v>
      </c>
      <c r="P31" s="10">
        <f t="shared" ca="1" si="2"/>
        <v>46106.913759606483</v>
      </c>
      <c r="Q31" s="11">
        <f t="shared" si="3"/>
        <v>18</v>
      </c>
      <c r="R31" s="11">
        <f t="shared" si="4"/>
        <v>31</v>
      </c>
      <c r="S31" s="13" t="str">
        <f t="shared" si="0"/>
        <v>normal</v>
      </c>
    </row>
    <row r="32" spans="1:19" ht="15.75" customHeight="1" x14ac:dyDescent="0.45">
      <c r="A32" s="4" t="s">
        <v>127</v>
      </c>
      <c r="B32" s="5">
        <v>45427</v>
      </c>
      <c r="C32" s="4" t="s">
        <v>57</v>
      </c>
      <c r="D32" s="4" t="s">
        <v>58</v>
      </c>
      <c r="E32" s="4" t="s">
        <v>128</v>
      </c>
      <c r="F32" s="4" t="s">
        <v>129</v>
      </c>
      <c r="G32" s="4" t="s">
        <v>48</v>
      </c>
      <c r="H32" s="4">
        <v>5</v>
      </c>
      <c r="I32" s="4">
        <v>199.99</v>
      </c>
      <c r="J32" s="4" t="s">
        <v>22</v>
      </c>
      <c r="K32" s="4" t="s">
        <v>37</v>
      </c>
      <c r="L32" s="4" t="s">
        <v>38</v>
      </c>
      <c r="M32" s="5">
        <v>44412</v>
      </c>
      <c r="N32" s="4">
        <v>999.95</v>
      </c>
      <c r="O32" s="9">
        <f t="shared" ca="1" si="1"/>
        <v>46106</v>
      </c>
      <c r="P32" s="10">
        <f t="shared" ca="1" si="2"/>
        <v>46106.913759606483</v>
      </c>
      <c r="Q32" s="11">
        <f t="shared" si="3"/>
        <v>33</v>
      </c>
      <c r="R32" s="11">
        <f t="shared" si="4"/>
        <v>31</v>
      </c>
      <c r="S32" s="13" t="str">
        <f t="shared" si="0"/>
        <v>normal</v>
      </c>
    </row>
    <row r="33" spans="1:19" ht="15.75" customHeight="1" x14ac:dyDescent="0.45">
      <c r="A33" s="4" t="s">
        <v>130</v>
      </c>
      <c r="B33" s="5">
        <v>45428</v>
      </c>
      <c r="C33" s="4" t="s">
        <v>131</v>
      </c>
      <c r="D33" s="4" t="s">
        <v>132</v>
      </c>
      <c r="E33" s="4" t="s">
        <v>46</v>
      </c>
      <c r="F33" s="4" t="s">
        <v>47</v>
      </c>
      <c r="G33" s="4" t="s">
        <v>48</v>
      </c>
      <c r="H33" s="4">
        <v>2</v>
      </c>
      <c r="I33" s="4">
        <v>149.99</v>
      </c>
      <c r="J33" s="4" t="s">
        <v>28</v>
      </c>
      <c r="K33" s="4" t="s">
        <v>52</v>
      </c>
      <c r="L33" s="4" t="s">
        <v>24</v>
      </c>
      <c r="M33" s="5">
        <v>44823</v>
      </c>
      <c r="N33" s="4">
        <v>299.98</v>
      </c>
      <c r="O33" s="9">
        <f t="shared" ca="1" si="1"/>
        <v>46106</v>
      </c>
      <c r="P33" s="10">
        <f t="shared" ca="1" si="2"/>
        <v>46106.913759606483</v>
      </c>
      <c r="Q33" s="11">
        <f t="shared" si="3"/>
        <v>19</v>
      </c>
      <c r="R33" s="11">
        <f t="shared" si="4"/>
        <v>31</v>
      </c>
      <c r="S33" s="13" t="str">
        <f t="shared" si="0"/>
        <v>normal</v>
      </c>
    </row>
    <row r="34" spans="1:19" ht="15.75" customHeight="1" x14ac:dyDescent="0.45">
      <c r="A34" s="4" t="s">
        <v>133</v>
      </c>
      <c r="B34" s="5">
        <v>45430</v>
      </c>
      <c r="C34" s="4" t="s">
        <v>134</v>
      </c>
      <c r="D34" s="4" t="s">
        <v>135</v>
      </c>
      <c r="E34" s="4" t="s">
        <v>46</v>
      </c>
      <c r="F34" s="4" t="s">
        <v>47</v>
      </c>
      <c r="G34" s="4" t="s">
        <v>48</v>
      </c>
      <c r="H34" s="4">
        <v>3</v>
      </c>
      <c r="I34" s="4">
        <v>149.99</v>
      </c>
      <c r="J34" s="4" t="s">
        <v>28</v>
      </c>
      <c r="K34" s="4" t="s">
        <v>52</v>
      </c>
      <c r="L34" s="4" t="s">
        <v>29</v>
      </c>
      <c r="M34" s="5">
        <v>45068</v>
      </c>
      <c r="N34" s="4">
        <v>449.97</v>
      </c>
      <c r="O34" s="9">
        <f t="shared" ca="1" si="1"/>
        <v>46106</v>
      </c>
      <c r="P34" s="10">
        <f t="shared" ca="1" si="2"/>
        <v>46106.913759606483</v>
      </c>
      <c r="Q34" s="11">
        <f t="shared" si="3"/>
        <v>11</v>
      </c>
      <c r="R34" s="11">
        <f t="shared" si="4"/>
        <v>31</v>
      </c>
      <c r="S34" s="13" t="str">
        <f t="shared" si="0"/>
        <v>normal</v>
      </c>
    </row>
    <row r="35" spans="1:19" ht="15.75" customHeight="1" x14ac:dyDescent="0.45">
      <c r="A35" s="4" t="s">
        <v>136</v>
      </c>
      <c r="B35" s="5">
        <v>45432</v>
      </c>
      <c r="C35" s="4" t="s">
        <v>31</v>
      </c>
      <c r="D35" s="4" t="s">
        <v>32</v>
      </c>
      <c r="E35" s="4" t="s">
        <v>63</v>
      </c>
      <c r="F35" s="4" t="s">
        <v>64</v>
      </c>
      <c r="G35" s="4" t="s">
        <v>21</v>
      </c>
      <c r="H35" s="4">
        <v>1</v>
      </c>
      <c r="I35" s="4">
        <v>899.99</v>
      </c>
      <c r="J35" s="4" t="s">
        <v>28</v>
      </c>
      <c r="K35" s="4" t="s">
        <v>52</v>
      </c>
      <c r="L35" s="4" t="s">
        <v>29</v>
      </c>
      <c r="M35" s="5">
        <v>44578</v>
      </c>
      <c r="N35" s="4">
        <v>899.99</v>
      </c>
      <c r="O35" s="9">
        <f t="shared" ca="1" si="1"/>
        <v>46106</v>
      </c>
      <c r="P35" s="10">
        <f t="shared" ca="1" si="2"/>
        <v>46106.913759606483</v>
      </c>
      <c r="Q35" s="11">
        <f t="shared" si="3"/>
        <v>28</v>
      </c>
      <c r="R35" s="11">
        <f t="shared" si="4"/>
        <v>31</v>
      </c>
      <c r="S35" s="13" t="str">
        <f t="shared" si="0"/>
        <v>normal</v>
      </c>
    </row>
    <row r="36" spans="1:19" ht="15.75" customHeight="1" x14ac:dyDescent="0.45">
      <c r="A36" s="4" t="s">
        <v>137</v>
      </c>
      <c r="B36" s="5">
        <v>45434</v>
      </c>
      <c r="C36" s="4" t="s">
        <v>101</v>
      </c>
      <c r="D36" s="4" t="s">
        <v>102</v>
      </c>
      <c r="E36" s="4" t="s">
        <v>107</v>
      </c>
      <c r="F36" s="4" t="s">
        <v>108</v>
      </c>
      <c r="G36" s="4" t="s">
        <v>48</v>
      </c>
      <c r="H36" s="4">
        <v>3</v>
      </c>
      <c r="I36" s="4">
        <v>299.99</v>
      </c>
      <c r="J36" s="4" t="s">
        <v>28</v>
      </c>
      <c r="K36" s="4" t="s">
        <v>65</v>
      </c>
      <c r="L36" s="4" t="s">
        <v>24</v>
      </c>
      <c r="M36" s="5">
        <v>44824</v>
      </c>
      <c r="N36" s="4">
        <v>899.97</v>
      </c>
      <c r="O36" s="9">
        <f t="shared" ca="1" si="1"/>
        <v>46106</v>
      </c>
      <c r="P36" s="10">
        <f t="shared" ca="1" si="2"/>
        <v>46106.913759606483</v>
      </c>
      <c r="Q36" s="11">
        <f t="shared" si="3"/>
        <v>20</v>
      </c>
      <c r="R36" s="11">
        <f t="shared" si="4"/>
        <v>31</v>
      </c>
      <c r="S36" s="13" t="str">
        <f t="shared" si="0"/>
        <v>normal</v>
      </c>
    </row>
    <row r="37" spans="1:19" ht="15.75" customHeight="1" x14ac:dyDescent="0.45">
      <c r="A37" s="4" t="s">
        <v>138</v>
      </c>
      <c r="B37" s="5">
        <v>45435</v>
      </c>
      <c r="C37" s="4" t="s">
        <v>131</v>
      </c>
      <c r="D37" s="4" t="s">
        <v>132</v>
      </c>
      <c r="E37" s="4" t="s">
        <v>116</v>
      </c>
      <c r="F37" s="4" t="s">
        <v>117</v>
      </c>
      <c r="G37" s="4" t="s">
        <v>35</v>
      </c>
      <c r="H37" s="4">
        <v>3</v>
      </c>
      <c r="I37" s="4">
        <v>79.989999999999995</v>
      </c>
      <c r="J37" s="4" t="s">
        <v>22</v>
      </c>
      <c r="K37" s="4" t="s">
        <v>37</v>
      </c>
      <c r="L37" s="4" t="s">
        <v>24</v>
      </c>
      <c r="M37" s="5">
        <v>45046</v>
      </c>
      <c r="N37" s="4">
        <v>239.97</v>
      </c>
      <c r="O37" s="9">
        <f t="shared" ca="1" si="1"/>
        <v>46106</v>
      </c>
      <c r="P37" s="10">
        <f t="shared" ca="1" si="2"/>
        <v>46106.913759606483</v>
      </c>
      <c r="Q37" s="11">
        <f t="shared" si="3"/>
        <v>12</v>
      </c>
      <c r="R37" s="11">
        <f t="shared" si="4"/>
        <v>31</v>
      </c>
      <c r="S37" s="13" t="str">
        <f t="shared" si="0"/>
        <v>normal</v>
      </c>
    </row>
    <row r="38" spans="1:19" ht="15.75" customHeight="1" x14ac:dyDescent="0.45">
      <c r="A38" s="4" t="s">
        <v>139</v>
      </c>
      <c r="B38" s="5">
        <v>45438</v>
      </c>
      <c r="C38" s="4" t="s">
        <v>140</v>
      </c>
      <c r="D38" s="4" t="s">
        <v>141</v>
      </c>
      <c r="E38" s="4" t="s">
        <v>128</v>
      </c>
      <c r="F38" s="4" t="s">
        <v>129</v>
      </c>
      <c r="G38" s="4" t="s">
        <v>48</v>
      </c>
      <c r="H38" s="4">
        <v>3</v>
      </c>
      <c r="I38" s="4">
        <v>199.99</v>
      </c>
      <c r="J38" s="4" t="s">
        <v>28</v>
      </c>
      <c r="K38" s="4" t="s">
        <v>42</v>
      </c>
      <c r="L38" s="4" t="s">
        <v>29</v>
      </c>
      <c r="M38" s="5">
        <v>45292</v>
      </c>
      <c r="N38" s="4">
        <v>599.97</v>
      </c>
      <c r="O38" s="9">
        <f t="shared" ca="1" si="1"/>
        <v>46106</v>
      </c>
      <c r="P38" s="10">
        <f t="shared" ca="1" si="2"/>
        <v>46106.913759606483</v>
      </c>
      <c r="Q38" s="11">
        <f t="shared" si="3"/>
        <v>4</v>
      </c>
      <c r="R38" s="11">
        <f t="shared" si="4"/>
        <v>31</v>
      </c>
      <c r="S38" s="13" t="str">
        <f t="shared" si="0"/>
        <v>normal</v>
      </c>
    </row>
    <row r="39" spans="1:19" ht="15.75" customHeight="1" x14ac:dyDescent="0.45">
      <c r="A39" s="4" t="s">
        <v>142</v>
      </c>
      <c r="B39" s="5">
        <v>45440</v>
      </c>
      <c r="C39" s="4" t="s">
        <v>143</v>
      </c>
      <c r="D39" s="4" t="s">
        <v>144</v>
      </c>
      <c r="E39" s="4" t="s">
        <v>82</v>
      </c>
      <c r="F39" s="4" t="s">
        <v>83</v>
      </c>
      <c r="G39" s="4" t="s">
        <v>21</v>
      </c>
      <c r="H39" s="4">
        <v>5</v>
      </c>
      <c r="I39" s="4">
        <v>699.99</v>
      </c>
      <c r="J39" s="4" t="s">
        <v>36</v>
      </c>
      <c r="K39" s="4" t="s">
        <v>52</v>
      </c>
      <c r="L39" s="4" t="s">
        <v>38</v>
      </c>
      <c r="M39" s="5">
        <v>44407</v>
      </c>
      <c r="N39" s="4">
        <v>3499.95</v>
      </c>
      <c r="O39" s="9">
        <f t="shared" ca="1" si="1"/>
        <v>46106</v>
      </c>
      <c r="P39" s="10">
        <f t="shared" ca="1" si="2"/>
        <v>46106.913759606483</v>
      </c>
      <c r="Q39" s="11">
        <f t="shared" si="3"/>
        <v>33</v>
      </c>
      <c r="R39" s="11">
        <f t="shared" si="4"/>
        <v>31</v>
      </c>
      <c r="S39" s="13" t="str">
        <f t="shared" si="0"/>
        <v>high-value</v>
      </c>
    </row>
    <row r="40" spans="1:19" ht="15.75" customHeight="1" x14ac:dyDescent="0.45">
      <c r="A40" s="4" t="s">
        <v>145</v>
      </c>
      <c r="B40" s="5">
        <v>45441</v>
      </c>
      <c r="C40" s="4" t="s">
        <v>146</v>
      </c>
      <c r="D40" s="4" t="s">
        <v>147</v>
      </c>
      <c r="E40" s="4" t="s">
        <v>119</v>
      </c>
      <c r="F40" s="4" t="s">
        <v>120</v>
      </c>
      <c r="G40" s="4" t="s">
        <v>21</v>
      </c>
      <c r="H40" s="4">
        <v>3</v>
      </c>
      <c r="I40" s="4">
        <v>89.99</v>
      </c>
      <c r="J40" s="4" t="s">
        <v>36</v>
      </c>
      <c r="K40" s="4" t="s">
        <v>23</v>
      </c>
      <c r="L40" s="4" t="s">
        <v>29</v>
      </c>
      <c r="M40" s="5">
        <v>45120</v>
      </c>
      <c r="N40" s="4">
        <v>269.97000000000003</v>
      </c>
      <c r="O40" s="9">
        <f t="shared" ca="1" si="1"/>
        <v>46106</v>
      </c>
      <c r="P40" s="10">
        <f t="shared" ca="1" si="2"/>
        <v>46106.913759606483</v>
      </c>
      <c r="Q40" s="11">
        <f t="shared" si="3"/>
        <v>10</v>
      </c>
      <c r="R40" s="11">
        <f t="shared" si="4"/>
        <v>31</v>
      </c>
      <c r="S40" s="13" t="str">
        <f t="shared" si="0"/>
        <v>normal</v>
      </c>
    </row>
    <row r="41" spans="1:19" ht="15.75" customHeight="1" x14ac:dyDescent="0.45">
      <c r="A41" s="4" t="s">
        <v>148</v>
      </c>
      <c r="B41" s="5">
        <v>45443</v>
      </c>
      <c r="C41" s="4" t="s">
        <v>149</v>
      </c>
      <c r="D41" s="4" t="s">
        <v>150</v>
      </c>
      <c r="E41" s="4" t="s">
        <v>116</v>
      </c>
      <c r="F41" s="4" t="s">
        <v>117</v>
      </c>
      <c r="G41" s="4" t="s">
        <v>35</v>
      </c>
      <c r="H41" s="4">
        <v>1</v>
      </c>
      <c r="I41" s="4">
        <v>79.989999999999995</v>
      </c>
      <c r="J41" s="4" t="s">
        <v>22</v>
      </c>
      <c r="K41" s="4" t="s">
        <v>42</v>
      </c>
      <c r="L41" s="4" t="s">
        <v>38</v>
      </c>
      <c r="M41" s="5">
        <v>44917</v>
      </c>
      <c r="N41" s="4">
        <v>79.989999999999995</v>
      </c>
      <c r="O41" s="9">
        <f t="shared" ca="1" si="1"/>
        <v>46106</v>
      </c>
      <c r="P41" s="10">
        <f t="shared" ca="1" si="2"/>
        <v>46106.913759606483</v>
      </c>
      <c r="Q41" s="11">
        <f t="shared" si="3"/>
        <v>17</v>
      </c>
      <c r="R41" s="11">
        <f t="shared" si="4"/>
        <v>31</v>
      </c>
      <c r="S41" s="13" t="str">
        <f t="shared" si="0"/>
        <v>normal</v>
      </c>
    </row>
    <row r="42" spans="1:19" ht="15.75" customHeight="1" x14ac:dyDescent="0.45">
      <c r="A42" s="4" t="s">
        <v>151</v>
      </c>
      <c r="B42" s="5">
        <v>45444</v>
      </c>
      <c r="C42" s="4" t="s">
        <v>152</v>
      </c>
      <c r="D42" s="4" t="s">
        <v>153</v>
      </c>
      <c r="E42" s="4" t="s">
        <v>33</v>
      </c>
      <c r="F42" s="4" t="s">
        <v>34</v>
      </c>
      <c r="G42" s="4" t="s">
        <v>35</v>
      </c>
      <c r="H42" s="4">
        <v>2</v>
      </c>
      <c r="I42" s="4">
        <v>59.99</v>
      </c>
      <c r="J42" s="4" t="s">
        <v>22</v>
      </c>
      <c r="K42" s="4" t="s">
        <v>52</v>
      </c>
      <c r="L42" s="4" t="s">
        <v>24</v>
      </c>
      <c r="M42" s="5">
        <v>45390</v>
      </c>
      <c r="N42" s="4">
        <v>119.98</v>
      </c>
      <c r="O42" s="9">
        <f t="shared" ca="1" si="1"/>
        <v>46106</v>
      </c>
      <c r="P42" s="10">
        <f t="shared" ca="1" si="2"/>
        <v>46106.913759606483</v>
      </c>
      <c r="Q42" s="11">
        <f t="shared" si="3"/>
        <v>1</v>
      </c>
      <c r="R42" s="11">
        <f t="shared" si="4"/>
        <v>30</v>
      </c>
      <c r="S42" s="13" t="str">
        <f t="shared" si="0"/>
        <v>normal</v>
      </c>
    </row>
    <row r="43" spans="1:19" ht="15.75" customHeight="1" x14ac:dyDescent="0.45">
      <c r="A43" s="4" t="s">
        <v>154</v>
      </c>
      <c r="B43" s="5">
        <v>45444</v>
      </c>
      <c r="C43" s="4" t="s">
        <v>57</v>
      </c>
      <c r="D43" s="4" t="s">
        <v>58</v>
      </c>
      <c r="E43" s="4" t="s">
        <v>119</v>
      </c>
      <c r="F43" s="4" t="s">
        <v>120</v>
      </c>
      <c r="G43" s="4" t="s">
        <v>21</v>
      </c>
      <c r="H43" s="4">
        <v>1</v>
      </c>
      <c r="I43" s="4">
        <v>89.99</v>
      </c>
      <c r="J43" s="4" t="s">
        <v>22</v>
      </c>
      <c r="K43" s="4" t="s">
        <v>42</v>
      </c>
      <c r="L43" s="4" t="s">
        <v>24</v>
      </c>
      <c r="M43" s="5">
        <v>45141</v>
      </c>
      <c r="N43" s="4">
        <v>89.99</v>
      </c>
      <c r="O43" s="9">
        <f t="shared" ca="1" si="1"/>
        <v>46106</v>
      </c>
      <c r="P43" s="10">
        <f t="shared" ca="1" si="2"/>
        <v>46106.913759606483</v>
      </c>
      <c r="Q43" s="11">
        <f t="shared" si="3"/>
        <v>9</v>
      </c>
      <c r="R43" s="11">
        <f t="shared" si="4"/>
        <v>30</v>
      </c>
      <c r="S43" s="13" t="str">
        <f t="shared" si="0"/>
        <v>normal</v>
      </c>
    </row>
    <row r="44" spans="1:19" ht="15.75" customHeight="1" x14ac:dyDescent="0.45">
      <c r="A44" s="4" t="s">
        <v>155</v>
      </c>
      <c r="B44" s="5">
        <v>45446</v>
      </c>
      <c r="C44" s="4" t="s">
        <v>156</v>
      </c>
      <c r="D44" s="4" t="s">
        <v>157</v>
      </c>
      <c r="E44" s="4" t="s">
        <v>119</v>
      </c>
      <c r="F44" s="4" t="s">
        <v>120</v>
      </c>
      <c r="G44" s="4" t="s">
        <v>21</v>
      </c>
      <c r="H44" s="4">
        <v>5</v>
      </c>
      <c r="I44" s="4">
        <v>89.99</v>
      </c>
      <c r="J44" s="4" t="s">
        <v>28</v>
      </c>
      <c r="K44" s="4" t="s">
        <v>65</v>
      </c>
      <c r="L44" s="4" t="s">
        <v>38</v>
      </c>
      <c r="M44" s="5">
        <v>44587</v>
      </c>
      <c r="N44" s="4">
        <v>449.95</v>
      </c>
      <c r="O44" s="9">
        <f t="shared" ca="1" si="1"/>
        <v>46106</v>
      </c>
      <c r="P44" s="10">
        <f t="shared" ca="1" si="2"/>
        <v>46106.913759606483</v>
      </c>
      <c r="Q44" s="11">
        <f t="shared" si="3"/>
        <v>28</v>
      </c>
      <c r="R44" s="11">
        <f t="shared" si="4"/>
        <v>30</v>
      </c>
      <c r="S44" s="13" t="str">
        <f t="shared" si="0"/>
        <v>normal</v>
      </c>
    </row>
    <row r="45" spans="1:19" ht="15.75" customHeight="1" x14ac:dyDescent="0.45">
      <c r="A45" s="4" t="s">
        <v>158</v>
      </c>
      <c r="B45" s="5">
        <v>45449</v>
      </c>
      <c r="C45" s="4" t="s">
        <v>26</v>
      </c>
      <c r="D45" s="4" t="s">
        <v>27</v>
      </c>
      <c r="E45" s="4" t="s">
        <v>19</v>
      </c>
      <c r="F45" s="4" t="s">
        <v>20</v>
      </c>
      <c r="G45" s="4" t="s">
        <v>21</v>
      </c>
      <c r="H45" s="4">
        <v>5</v>
      </c>
      <c r="I45" s="4">
        <v>249.99</v>
      </c>
      <c r="J45" s="4" t="s">
        <v>28</v>
      </c>
      <c r="K45" s="4" t="s">
        <v>65</v>
      </c>
      <c r="L45" s="4" t="s">
        <v>38</v>
      </c>
      <c r="M45" s="5">
        <v>44707</v>
      </c>
      <c r="N45" s="4">
        <v>1249.95</v>
      </c>
      <c r="O45" s="9">
        <f t="shared" ca="1" si="1"/>
        <v>46106</v>
      </c>
      <c r="P45" s="10">
        <f t="shared" ca="1" si="2"/>
        <v>46106.913759606483</v>
      </c>
      <c r="Q45" s="11">
        <f t="shared" si="3"/>
        <v>24</v>
      </c>
      <c r="R45" s="11">
        <f t="shared" si="4"/>
        <v>30</v>
      </c>
      <c r="S45" s="13" t="str">
        <f t="shared" si="0"/>
        <v>normal</v>
      </c>
    </row>
    <row r="46" spans="1:19" ht="15.75" customHeight="1" x14ac:dyDescent="0.45">
      <c r="A46" s="4" t="s">
        <v>159</v>
      </c>
      <c r="B46" s="5">
        <v>45449</v>
      </c>
      <c r="C46" s="4" t="s">
        <v>160</v>
      </c>
      <c r="D46" s="4" t="s">
        <v>161</v>
      </c>
      <c r="E46" s="4" t="s">
        <v>119</v>
      </c>
      <c r="F46" s="4" t="s">
        <v>120</v>
      </c>
      <c r="G46" s="4" t="s">
        <v>21</v>
      </c>
      <c r="H46" s="4">
        <v>1</v>
      </c>
      <c r="I46" s="4">
        <v>89.99</v>
      </c>
      <c r="J46" s="4" t="s">
        <v>28</v>
      </c>
      <c r="K46" s="4" t="s">
        <v>37</v>
      </c>
      <c r="L46" s="4" t="s">
        <v>38</v>
      </c>
      <c r="M46" s="5">
        <v>44582</v>
      </c>
      <c r="N46" s="4">
        <v>89.99</v>
      </c>
      <c r="O46" s="9">
        <f t="shared" ca="1" si="1"/>
        <v>46106</v>
      </c>
      <c r="P46" s="10">
        <f t="shared" ca="1" si="2"/>
        <v>46106.913759606483</v>
      </c>
      <c r="Q46" s="11">
        <f t="shared" si="3"/>
        <v>28</v>
      </c>
      <c r="R46" s="11">
        <f t="shared" si="4"/>
        <v>30</v>
      </c>
      <c r="S46" s="13" t="str">
        <f t="shared" si="0"/>
        <v>normal</v>
      </c>
    </row>
    <row r="47" spans="1:19" ht="15.75" customHeight="1" x14ac:dyDescent="0.45">
      <c r="A47" s="4" t="s">
        <v>162</v>
      </c>
      <c r="B47" s="5">
        <v>45450</v>
      </c>
      <c r="C47" s="4" t="s">
        <v>44</v>
      </c>
      <c r="D47" s="4" t="s">
        <v>45</v>
      </c>
      <c r="E47" s="4" t="s">
        <v>46</v>
      </c>
      <c r="F47" s="4" t="s">
        <v>47</v>
      </c>
      <c r="G47" s="4" t="s">
        <v>48</v>
      </c>
      <c r="H47" s="4">
        <v>2</v>
      </c>
      <c r="I47" s="4">
        <v>149.99</v>
      </c>
      <c r="J47" s="4" t="s">
        <v>22</v>
      </c>
      <c r="K47" s="4" t="s">
        <v>65</v>
      </c>
      <c r="L47" s="4" t="s">
        <v>29</v>
      </c>
      <c r="M47" s="5">
        <v>44645</v>
      </c>
      <c r="N47" s="4">
        <v>299.98</v>
      </c>
      <c r="O47" s="9">
        <f t="shared" ca="1" si="1"/>
        <v>46106</v>
      </c>
      <c r="P47" s="10">
        <f t="shared" ca="1" si="2"/>
        <v>46106.913759606483</v>
      </c>
      <c r="Q47" s="11">
        <f t="shared" si="3"/>
        <v>26</v>
      </c>
      <c r="R47" s="11">
        <f t="shared" si="4"/>
        <v>30</v>
      </c>
      <c r="S47" s="13" t="str">
        <f t="shared" si="0"/>
        <v>normal</v>
      </c>
    </row>
    <row r="48" spans="1:19" ht="15.75" customHeight="1" x14ac:dyDescent="0.45">
      <c r="A48" s="4" t="s">
        <v>163</v>
      </c>
      <c r="B48" s="5">
        <v>45452</v>
      </c>
      <c r="C48" s="4" t="s">
        <v>164</v>
      </c>
      <c r="D48" s="4" t="s">
        <v>165</v>
      </c>
      <c r="E48" s="4" t="s">
        <v>33</v>
      </c>
      <c r="F48" s="4" t="s">
        <v>34</v>
      </c>
      <c r="G48" s="4" t="s">
        <v>35</v>
      </c>
      <c r="H48" s="4">
        <v>4</v>
      </c>
      <c r="I48" s="4">
        <v>59.99</v>
      </c>
      <c r="J48" s="4" t="s">
        <v>22</v>
      </c>
      <c r="K48" s="4" t="s">
        <v>65</v>
      </c>
      <c r="L48" s="4" t="s">
        <v>38</v>
      </c>
      <c r="M48" s="5">
        <v>44435</v>
      </c>
      <c r="N48" s="4">
        <v>239.96</v>
      </c>
      <c r="O48" s="9">
        <f t="shared" ca="1" si="1"/>
        <v>46106</v>
      </c>
      <c r="P48" s="10">
        <f t="shared" ca="1" si="2"/>
        <v>46106.913759606483</v>
      </c>
      <c r="Q48" s="11">
        <f t="shared" si="3"/>
        <v>33</v>
      </c>
      <c r="R48" s="11">
        <f t="shared" si="4"/>
        <v>30</v>
      </c>
      <c r="S48" s="13" t="str">
        <f t="shared" si="0"/>
        <v>normal</v>
      </c>
    </row>
    <row r="49" spans="1:19" ht="15.75" customHeight="1" x14ac:dyDescent="0.45">
      <c r="A49" s="4" t="s">
        <v>166</v>
      </c>
      <c r="B49" s="5">
        <v>45456</v>
      </c>
      <c r="C49" s="4" t="s">
        <v>131</v>
      </c>
      <c r="D49" s="4" t="s">
        <v>132</v>
      </c>
      <c r="E49" s="4" t="s">
        <v>119</v>
      </c>
      <c r="F49" s="4" t="s">
        <v>120</v>
      </c>
      <c r="G49" s="4" t="s">
        <v>21</v>
      </c>
      <c r="H49" s="4">
        <v>5</v>
      </c>
      <c r="I49" s="4">
        <v>89.99</v>
      </c>
      <c r="J49" s="4" t="s">
        <v>22</v>
      </c>
      <c r="K49" s="4" t="s">
        <v>23</v>
      </c>
      <c r="L49" s="4" t="s">
        <v>29</v>
      </c>
      <c r="M49" s="5">
        <v>44579</v>
      </c>
      <c r="N49" s="4">
        <v>449.95</v>
      </c>
      <c r="O49" s="9">
        <f t="shared" ca="1" si="1"/>
        <v>46106</v>
      </c>
      <c r="P49" s="10">
        <f t="shared" ca="1" si="2"/>
        <v>46106.913759606483</v>
      </c>
      <c r="Q49" s="11">
        <f t="shared" si="3"/>
        <v>28</v>
      </c>
      <c r="R49" s="11">
        <f t="shared" si="4"/>
        <v>30</v>
      </c>
      <c r="S49" s="13" t="str">
        <f t="shared" si="0"/>
        <v>normal</v>
      </c>
    </row>
    <row r="50" spans="1:19" ht="15.75" customHeight="1" x14ac:dyDescent="0.45">
      <c r="A50" s="4" t="s">
        <v>167</v>
      </c>
      <c r="B50" s="5">
        <v>45459</v>
      </c>
      <c r="C50" s="4" t="s">
        <v>101</v>
      </c>
      <c r="D50" s="4" t="s">
        <v>102</v>
      </c>
      <c r="E50" s="4" t="s">
        <v>119</v>
      </c>
      <c r="F50" s="4" t="s">
        <v>120</v>
      </c>
      <c r="G50" s="4" t="s">
        <v>21</v>
      </c>
      <c r="H50" s="4">
        <v>2</v>
      </c>
      <c r="I50" s="4">
        <v>89.99</v>
      </c>
      <c r="J50" s="4" t="s">
        <v>28</v>
      </c>
      <c r="K50" s="4" t="s">
        <v>37</v>
      </c>
      <c r="L50" s="4" t="s">
        <v>29</v>
      </c>
      <c r="M50" s="5">
        <v>44471</v>
      </c>
      <c r="N50" s="4">
        <v>179.98</v>
      </c>
      <c r="O50" s="9">
        <f t="shared" ca="1" si="1"/>
        <v>46106</v>
      </c>
      <c r="P50" s="10">
        <f t="shared" ca="1" si="2"/>
        <v>46106.913759606483</v>
      </c>
      <c r="Q50" s="11">
        <f t="shared" si="3"/>
        <v>32</v>
      </c>
      <c r="R50" s="11">
        <f t="shared" si="4"/>
        <v>30</v>
      </c>
      <c r="S50" s="13" t="str">
        <f t="shared" si="0"/>
        <v>normal</v>
      </c>
    </row>
    <row r="51" spans="1:19" ht="15.75" customHeight="1" x14ac:dyDescent="0.45">
      <c r="A51" s="4" t="s">
        <v>168</v>
      </c>
      <c r="B51" s="5">
        <v>45459</v>
      </c>
      <c r="C51" s="4" t="s">
        <v>17</v>
      </c>
      <c r="D51" s="4" t="s">
        <v>18</v>
      </c>
      <c r="E51" s="4" t="s">
        <v>63</v>
      </c>
      <c r="F51" s="4" t="s">
        <v>64</v>
      </c>
      <c r="G51" s="4" t="s">
        <v>21</v>
      </c>
      <c r="H51" s="4">
        <v>5</v>
      </c>
      <c r="I51" s="4">
        <v>899.99</v>
      </c>
      <c r="J51" s="4" t="s">
        <v>28</v>
      </c>
      <c r="K51" s="4" t="s">
        <v>37</v>
      </c>
      <c r="L51" s="4" t="s">
        <v>38</v>
      </c>
      <c r="M51" s="5">
        <v>44974</v>
      </c>
      <c r="N51" s="4">
        <v>4499.95</v>
      </c>
      <c r="O51" s="9">
        <f t="shared" ca="1" si="1"/>
        <v>46106</v>
      </c>
      <c r="P51" s="10">
        <f t="shared" ca="1" si="2"/>
        <v>46106.913759606483</v>
      </c>
      <c r="Q51" s="11">
        <f t="shared" si="3"/>
        <v>15</v>
      </c>
      <c r="R51" s="11">
        <f t="shared" si="4"/>
        <v>30</v>
      </c>
      <c r="S51" s="13" t="str">
        <f t="shared" si="0"/>
        <v>high-value</v>
      </c>
    </row>
    <row r="52" spans="1:19" ht="15.75" customHeight="1" x14ac:dyDescent="0.45">
      <c r="A52" s="4" t="s">
        <v>169</v>
      </c>
      <c r="B52" s="5">
        <v>45459</v>
      </c>
      <c r="C52" s="4" t="s">
        <v>125</v>
      </c>
      <c r="D52" s="4" t="s">
        <v>126</v>
      </c>
      <c r="E52" s="4" t="s">
        <v>63</v>
      </c>
      <c r="F52" s="4" t="s">
        <v>64</v>
      </c>
      <c r="G52" s="4" t="s">
        <v>21</v>
      </c>
      <c r="H52" s="4">
        <v>5</v>
      </c>
      <c r="I52" s="4">
        <v>899.99</v>
      </c>
      <c r="J52" s="4" t="s">
        <v>36</v>
      </c>
      <c r="K52" s="4" t="s">
        <v>65</v>
      </c>
      <c r="L52" s="4" t="s">
        <v>29</v>
      </c>
      <c r="M52" s="5">
        <v>45278</v>
      </c>
      <c r="N52" s="4">
        <v>4499.95</v>
      </c>
      <c r="O52" s="9">
        <f t="shared" ca="1" si="1"/>
        <v>46106</v>
      </c>
      <c r="P52" s="10">
        <f t="shared" ca="1" si="2"/>
        <v>46106.913759606483</v>
      </c>
      <c r="Q52" s="11">
        <f t="shared" si="3"/>
        <v>5</v>
      </c>
      <c r="R52" s="11">
        <f t="shared" si="4"/>
        <v>30</v>
      </c>
      <c r="S52" s="13" t="str">
        <f t="shared" si="0"/>
        <v>high-value</v>
      </c>
    </row>
    <row r="53" spans="1:19" ht="15.75" customHeight="1" x14ac:dyDescent="0.45">
      <c r="A53" s="4" t="s">
        <v>170</v>
      </c>
      <c r="B53" s="5">
        <v>45460</v>
      </c>
      <c r="C53" s="4" t="s">
        <v>160</v>
      </c>
      <c r="D53" s="4" t="s">
        <v>161</v>
      </c>
      <c r="E53" s="4" t="s">
        <v>33</v>
      </c>
      <c r="F53" s="4" t="s">
        <v>34</v>
      </c>
      <c r="G53" s="4" t="s">
        <v>35</v>
      </c>
      <c r="H53" s="4">
        <v>1</v>
      </c>
      <c r="I53" s="4">
        <v>59.99</v>
      </c>
      <c r="J53" s="4" t="s">
        <v>59</v>
      </c>
      <c r="K53" s="4" t="s">
        <v>52</v>
      </c>
      <c r="L53" s="4" t="s">
        <v>29</v>
      </c>
      <c r="M53" s="5">
        <v>45190</v>
      </c>
      <c r="N53" s="4">
        <v>59.99</v>
      </c>
      <c r="O53" s="9">
        <f t="shared" ca="1" si="1"/>
        <v>46106</v>
      </c>
      <c r="P53" s="10">
        <f t="shared" ca="1" si="2"/>
        <v>46106.913759606483</v>
      </c>
      <c r="Q53" s="11">
        <f t="shared" si="3"/>
        <v>8</v>
      </c>
      <c r="R53" s="11">
        <f t="shared" si="4"/>
        <v>30</v>
      </c>
      <c r="S53" s="13" t="str">
        <f t="shared" si="0"/>
        <v>normal</v>
      </c>
    </row>
    <row r="54" spans="1:19" ht="15.75" customHeight="1" x14ac:dyDescent="0.45">
      <c r="A54" s="4" t="s">
        <v>171</v>
      </c>
      <c r="B54" s="5">
        <v>45460</v>
      </c>
      <c r="C54" s="4" t="s">
        <v>143</v>
      </c>
      <c r="D54" s="4" t="s">
        <v>144</v>
      </c>
      <c r="E54" s="4" t="s">
        <v>107</v>
      </c>
      <c r="F54" s="4" t="s">
        <v>108</v>
      </c>
      <c r="G54" s="4" t="s">
        <v>48</v>
      </c>
      <c r="H54" s="4">
        <v>2</v>
      </c>
      <c r="I54" s="4">
        <v>299.99</v>
      </c>
      <c r="J54" s="4" t="s">
        <v>59</v>
      </c>
      <c r="K54" s="4" t="s">
        <v>65</v>
      </c>
      <c r="L54" s="4" t="s">
        <v>38</v>
      </c>
      <c r="M54" s="5">
        <v>45253</v>
      </c>
      <c r="N54" s="4">
        <v>599.98</v>
      </c>
      <c r="O54" s="9">
        <f t="shared" ca="1" si="1"/>
        <v>46106</v>
      </c>
      <c r="P54" s="10">
        <f t="shared" ca="1" si="2"/>
        <v>46106.913759606483</v>
      </c>
      <c r="Q54" s="11">
        <f t="shared" si="3"/>
        <v>6</v>
      </c>
      <c r="R54" s="11">
        <f t="shared" si="4"/>
        <v>30</v>
      </c>
      <c r="S54" s="13" t="str">
        <f t="shared" si="0"/>
        <v>normal</v>
      </c>
    </row>
    <row r="55" spans="1:19" ht="15.75" customHeight="1" x14ac:dyDescent="0.45">
      <c r="A55" s="4" t="s">
        <v>172</v>
      </c>
      <c r="B55" s="5">
        <v>45468</v>
      </c>
      <c r="C55" s="4" t="s">
        <v>173</v>
      </c>
      <c r="D55" s="4" t="s">
        <v>174</v>
      </c>
      <c r="E55" s="4" t="s">
        <v>119</v>
      </c>
      <c r="F55" s="4" t="s">
        <v>120</v>
      </c>
      <c r="G55" s="4" t="s">
        <v>21</v>
      </c>
      <c r="H55" s="4">
        <v>4</v>
      </c>
      <c r="I55" s="4">
        <v>89.99</v>
      </c>
      <c r="J55" s="4" t="s">
        <v>59</v>
      </c>
      <c r="K55" s="4" t="s">
        <v>37</v>
      </c>
      <c r="L55" s="4" t="s">
        <v>24</v>
      </c>
      <c r="M55" s="5">
        <v>45281</v>
      </c>
      <c r="N55" s="4">
        <v>359.96</v>
      </c>
      <c r="O55" s="9">
        <f t="shared" ca="1" si="1"/>
        <v>46106</v>
      </c>
      <c r="P55" s="10">
        <f t="shared" ca="1" si="2"/>
        <v>46106.913759606483</v>
      </c>
      <c r="Q55" s="11">
        <f t="shared" si="3"/>
        <v>6</v>
      </c>
      <c r="R55" s="11">
        <f t="shared" si="4"/>
        <v>30</v>
      </c>
      <c r="S55" s="13" t="str">
        <f t="shared" si="0"/>
        <v>normal</v>
      </c>
    </row>
    <row r="56" spans="1:19" ht="15.75" customHeight="1" x14ac:dyDescent="0.45">
      <c r="A56" s="4" t="s">
        <v>175</v>
      </c>
      <c r="B56" s="5">
        <v>45469</v>
      </c>
      <c r="C56" s="4" t="s">
        <v>31</v>
      </c>
      <c r="D56" s="4" t="s">
        <v>32</v>
      </c>
      <c r="E56" s="4" t="s">
        <v>116</v>
      </c>
      <c r="F56" s="4" t="s">
        <v>117</v>
      </c>
      <c r="G56" s="4" t="s">
        <v>35</v>
      </c>
      <c r="H56" s="4">
        <v>1</v>
      </c>
      <c r="I56" s="4">
        <v>79.989999999999995</v>
      </c>
      <c r="J56" s="4" t="s">
        <v>36</v>
      </c>
      <c r="K56" s="4" t="s">
        <v>23</v>
      </c>
      <c r="L56" s="4" t="s">
        <v>29</v>
      </c>
      <c r="M56" s="5">
        <v>45352</v>
      </c>
      <c r="N56" s="4">
        <v>79.989999999999995</v>
      </c>
      <c r="O56" s="9">
        <f t="shared" ca="1" si="1"/>
        <v>46106</v>
      </c>
      <c r="P56" s="10">
        <f t="shared" ca="1" si="2"/>
        <v>46106.913759606483</v>
      </c>
      <c r="Q56" s="11">
        <f t="shared" si="3"/>
        <v>3</v>
      </c>
      <c r="R56" s="11">
        <f t="shared" si="4"/>
        <v>30</v>
      </c>
      <c r="S56" s="13" t="str">
        <f t="shared" si="0"/>
        <v>normal</v>
      </c>
    </row>
    <row r="57" spans="1:19" ht="15.75" customHeight="1" x14ac:dyDescent="0.45">
      <c r="A57" s="4" t="s">
        <v>176</v>
      </c>
      <c r="B57" s="5">
        <v>45469</v>
      </c>
      <c r="C57" s="4" t="s">
        <v>61</v>
      </c>
      <c r="D57" s="4" t="s">
        <v>62</v>
      </c>
      <c r="E57" s="4" t="s">
        <v>119</v>
      </c>
      <c r="F57" s="4" t="s">
        <v>120</v>
      </c>
      <c r="G57" s="4" t="s">
        <v>21</v>
      </c>
      <c r="H57" s="4">
        <v>2</v>
      </c>
      <c r="I57" s="4">
        <v>89.99</v>
      </c>
      <c r="J57" s="4" t="s">
        <v>22</v>
      </c>
      <c r="K57" s="4" t="s">
        <v>52</v>
      </c>
      <c r="L57" s="4" t="s">
        <v>24</v>
      </c>
      <c r="M57" s="5">
        <v>44438</v>
      </c>
      <c r="N57" s="4">
        <v>179.98</v>
      </c>
      <c r="O57" s="9">
        <f t="shared" ca="1" si="1"/>
        <v>46106</v>
      </c>
      <c r="P57" s="10">
        <f t="shared" ca="1" si="2"/>
        <v>46106.913759606483</v>
      </c>
      <c r="Q57" s="11">
        <f t="shared" si="3"/>
        <v>33</v>
      </c>
      <c r="R57" s="11">
        <f t="shared" si="4"/>
        <v>30</v>
      </c>
      <c r="S57" s="13" t="str">
        <f t="shared" si="0"/>
        <v>normal</v>
      </c>
    </row>
    <row r="58" spans="1:19" ht="15.75" customHeight="1" x14ac:dyDescent="0.45">
      <c r="A58" s="4" t="s">
        <v>177</v>
      </c>
      <c r="B58" s="5">
        <v>45471</v>
      </c>
      <c r="C58" s="4" t="s">
        <v>40</v>
      </c>
      <c r="D58" s="4" t="s">
        <v>41</v>
      </c>
      <c r="E58" s="4" t="s">
        <v>82</v>
      </c>
      <c r="F58" s="4" t="s">
        <v>83</v>
      </c>
      <c r="G58" s="4" t="s">
        <v>21</v>
      </c>
      <c r="H58" s="4">
        <v>3</v>
      </c>
      <c r="I58" s="4">
        <v>699.99</v>
      </c>
      <c r="J58" s="4" t="s">
        <v>28</v>
      </c>
      <c r="K58" s="4" t="s">
        <v>65</v>
      </c>
      <c r="L58" s="4" t="s">
        <v>29</v>
      </c>
      <c r="M58" s="5">
        <v>45102</v>
      </c>
      <c r="N58" s="4">
        <v>2099.9699999999998</v>
      </c>
      <c r="O58" s="9">
        <f t="shared" ca="1" si="1"/>
        <v>46106</v>
      </c>
      <c r="P58" s="10">
        <f t="shared" ca="1" si="2"/>
        <v>46106.913759606483</v>
      </c>
      <c r="Q58" s="11">
        <f t="shared" si="3"/>
        <v>12</v>
      </c>
      <c r="R58" s="11">
        <f t="shared" si="4"/>
        <v>30</v>
      </c>
      <c r="S58" s="13" t="str">
        <f t="shared" si="0"/>
        <v>high-value</v>
      </c>
    </row>
    <row r="59" spans="1:19" ht="15.75" customHeight="1" x14ac:dyDescent="0.45">
      <c r="A59" s="4" t="s">
        <v>178</v>
      </c>
      <c r="B59" s="5">
        <v>45471</v>
      </c>
      <c r="C59" s="4" t="s">
        <v>101</v>
      </c>
      <c r="D59" s="4" t="s">
        <v>102</v>
      </c>
      <c r="E59" s="4" t="s">
        <v>63</v>
      </c>
      <c r="F59" s="4" t="s">
        <v>64</v>
      </c>
      <c r="G59" s="4" t="s">
        <v>21</v>
      </c>
      <c r="H59" s="4">
        <v>4</v>
      </c>
      <c r="I59" s="4">
        <v>899.99</v>
      </c>
      <c r="J59" s="4" t="s">
        <v>28</v>
      </c>
      <c r="K59" s="4" t="s">
        <v>65</v>
      </c>
      <c r="L59" s="4" t="s">
        <v>29</v>
      </c>
      <c r="M59" s="5">
        <v>44993</v>
      </c>
      <c r="N59" s="4">
        <v>3599.96</v>
      </c>
      <c r="O59" s="9">
        <f t="shared" ca="1" si="1"/>
        <v>46106</v>
      </c>
      <c r="P59" s="10">
        <f t="shared" ca="1" si="2"/>
        <v>46106.913759606483</v>
      </c>
      <c r="Q59" s="11">
        <f t="shared" si="3"/>
        <v>15</v>
      </c>
      <c r="R59" s="11">
        <f t="shared" si="4"/>
        <v>30</v>
      </c>
      <c r="S59" s="13" t="str">
        <f t="shared" si="0"/>
        <v>high-value</v>
      </c>
    </row>
    <row r="60" spans="1:19" ht="15.75" customHeight="1" x14ac:dyDescent="0.45">
      <c r="A60" s="4" t="s">
        <v>179</v>
      </c>
      <c r="B60" s="5">
        <v>45472</v>
      </c>
      <c r="C60" s="4" t="s">
        <v>122</v>
      </c>
      <c r="D60" s="4" t="s">
        <v>123</v>
      </c>
      <c r="E60" s="4" t="s">
        <v>46</v>
      </c>
      <c r="F60" s="4" t="s">
        <v>47</v>
      </c>
      <c r="G60" s="4" t="s">
        <v>48</v>
      </c>
      <c r="H60" s="4">
        <v>1</v>
      </c>
      <c r="I60" s="4">
        <v>149.99</v>
      </c>
      <c r="J60" s="4" t="s">
        <v>36</v>
      </c>
      <c r="K60" s="4" t="s">
        <v>65</v>
      </c>
      <c r="L60" s="4" t="s">
        <v>24</v>
      </c>
      <c r="M60" s="5">
        <v>44851</v>
      </c>
      <c r="N60" s="4">
        <v>149.99</v>
      </c>
      <c r="O60" s="9">
        <f t="shared" ca="1" si="1"/>
        <v>46106</v>
      </c>
      <c r="P60" s="10">
        <f t="shared" ca="1" si="2"/>
        <v>46106.913759606483</v>
      </c>
      <c r="Q60" s="11">
        <f t="shared" si="3"/>
        <v>20</v>
      </c>
      <c r="R60" s="11">
        <f t="shared" si="4"/>
        <v>30</v>
      </c>
      <c r="S60" s="13" t="str">
        <f t="shared" si="0"/>
        <v>normal</v>
      </c>
    </row>
    <row r="61" spans="1:19" ht="15.75" customHeight="1" x14ac:dyDescent="0.45">
      <c r="A61" s="4" t="s">
        <v>180</v>
      </c>
      <c r="B61" s="5">
        <v>45474</v>
      </c>
      <c r="C61" s="4" t="s">
        <v>134</v>
      </c>
      <c r="D61" s="4" t="s">
        <v>135</v>
      </c>
      <c r="E61" s="4" t="s">
        <v>119</v>
      </c>
      <c r="F61" s="4" t="s">
        <v>120</v>
      </c>
      <c r="G61" s="4" t="s">
        <v>21</v>
      </c>
      <c r="H61" s="4">
        <v>2</v>
      </c>
      <c r="I61" s="4">
        <v>89.99</v>
      </c>
      <c r="J61" s="4" t="s">
        <v>36</v>
      </c>
      <c r="K61" s="4" t="s">
        <v>23</v>
      </c>
      <c r="L61" s="4" t="s">
        <v>29</v>
      </c>
      <c r="M61" s="5">
        <v>45275</v>
      </c>
      <c r="N61" s="4">
        <v>179.98</v>
      </c>
      <c r="O61" s="9">
        <f t="shared" ca="1" si="1"/>
        <v>46106</v>
      </c>
      <c r="P61" s="10">
        <f t="shared" ca="1" si="2"/>
        <v>46106.913759606483</v>
      </c>
      <c r="Q61" s="11">
        <f t="shared" si="3"/>
        <v>6</v>
      </c>
      <c r="R61" s="11">
        <f t="shared" si="4"/>
        <v>31</v>
      </c>
      <c r="S61" s="13" t="str">
        <f t="shared" si="0"/>
        <v>normal</v>
      </c>
    </row>
    <row r="62" spans="1:19" ht="15.75" customHeight="1" x14ac:dyDescent="0.45">
      <c r="A62" s="4" t="s">
        <v>181</v>
      </c>
      <c r="B62" s="5">
        <v>45475</v>
      </c>
      <c r="C62" s="4" t="s">
        <v>57</v>
      </c>
      <c r="D62" s="4" t="s">
        <v>58</v>
      </c>
      <c r="E62" s="4" t="s">
        <v>119</v>
      </c>
      <c r="F62" s="4" t="s">
        <v>120</v>
      </c>
      <c r="G62" s="4" t="s">
        <v>21</v>
      </c>
      <c r="H62" s="4">
        <v>1</v>
      </c>
      <c r="I62" s="4">
        <v>89.99</v>
      </c>
      <c r="J62" s="4" t="s">
        <v>36</v>
      </c>
      <c r="K62" s="4" t="s">
        <v>52</v>
      </c>
      <c r="L62" s="4" t="s">
        <v>38</v>
      </c>
      <c r="M62" s="5">
        <v>44802</v>
      </c>
      <c r="N62" s="4">
        <v>89.99</v>
      </c>
      <c r="O62" s="9">
        <f t="shared" ca="1" si="1"/>
        <v>46106</v>
      </c>
      <c r="P62" s="10">
        <f t="shared" ca="1" si="2"/>
        <v>46106.913759606483</v>
      </c>
      <c r="Q62" s="11">
        <f t="shared" si="3"/>
        <v>22</v>
      </c>
      <c r="R62" s="11">
        <f t="shared" si="4"/>
        <v>31</v>
      </c>
      <c r="S62" s="13" t="str">
        <f t="shared" si="0"/>
        <v>normal</v>
      </c>
    </row>
    <row r="63" spans="1:19" ht="15.75" customHeight="1" x14ac:dyDescent="0.45">
      <c r="A63" s="4" t="s">
        <v>182</v>
      </c>
      <c r="B63" s="5">
        <v>45476</v>
      </c>
      <c r="C63" s="4" t="s">
        <v>70</v>
      </c>
      <c r="D63" s="4" t="s">
        <v>71</v>
      </c>
      <c r="E63" s="4" t="s">
        <v>119</v>
      </c>
      <c r="F63" s="4" t="s">
        <v>120</v>
      </c>
      <c r="G63" s="4" t="s">
        <v>21</v>
      </c>
      <c r="H63" s="4">
        <v>1</v>
      </c>
      <c r="I63" s="4">
        <v>89.99</v>
      </c>
      <c r="J63" s="4" t="s">
        <v>22</v>
      </c>
      <c r="K63" s="4" t="s">
        <v>37</v>
      </c>
      <c r="L63" s="4" t="s">
        <v>38</v>
      </c>
      <c r="M63" s="5">
        <v>44611</v>
      </c>
      <c r="N63" s="4">
        <v>89.99</v>
      </c>
      <c r="O63" s="9">
        <f t="shared" ca="1" si="1"/>
        <v>46106</v>
      </c>
      <c r="P63" s="10">
        <f t="shared" ca="1" si="2"/>
        <v>46106.913759606483</v>
      </c>
      <c r="Q63" s="11">
        <f t="shared" si="3"/>
        <v>28</v>
      </c>
      <c r="R63" s="11">
        <f t="shared" si="4"/>
        <v>31</v>
      </c>
      <c r="S63" s="13" t="str">
        <f t="shared" si="0"/>
        <v>normal</v>
      </c>
    </row>
    <row r="64" spans="1:19" ht="15.75" customHeight="1" x14ac:dyDescent="0.45">
      <c r="A64" s="4" t="s">
        <v>183</v>
      </c>
      <c r="B64" s="5">
        <v>45476</v>
      </c>
      <c r="C64" s="4" t="s">
        <v>184</v>
      </c>
      <c r="D64" s="4" t="s">
        <v>185</v>
      </c>
      <c r="E64" s="4" t="s">
        <v>116</v>
      </c>
      <c r="F64" s="4" t="s">
        <v>117</v>
      </c>
      <c r="G64" s="4" t="s">
        <v>35</v>
      </c>
      <c r="H64" s="4">
        <v>5</v>
      </c>
      <c r="I64" s="4">
        <v>79.989999999999995</v>
      </c>
      <c r="J64" s="4" t="s">
        <v>59</v>
      </c>
      <c r="K64" s="4" t="s">
        <v>23</v>
      </c>
      <c r="L64" s="4" t="s">
        <v>24</v>
      </c>
      <c r="M64" s="5">
        <v>44981</v>
      </c>
      <c r="N64" s="4">
        <v>399.95</v>
      </c>
      <c r="O64" s="9">
        <f t="shared" ca="1" si="1"/>
        <v>46106</v>
      </c>
      <c r="P64" s="10">
        <f t="shared" ca="1" si="2"/>
        <v>46106.913759606483</v>
      </c>
      <c r="Q64" s="11">
        <f t="shared" si="3"/>
        <v>16</v>
      </c>
      <c r="R64" s="11">
        <f t="shared" si="4"/>
        <v>31</v>
      </c>
      <c r="S64" s="13" t="str">
        <f t="shared" si="0"/>
        <v>normal</v>
      </c>
    </row>
    <row r="65" spans="1:19" ht="15.75" customHeight="1" x14ac:dyDescent="0.45">
      <c r="A65" s="4" t="s">
        <v>186</v>
      </c>
      <c r="B65" s="5">
        <v>45481</v>
      </c>
      <c r="C65" s="4" t="s">
        <v>187</v>
      </c>
      <c r="D65" s="4" t="s">
        <v>188</v>
      </c>
      <c r="E65" s="4" t="s">
        <v>46</v>
      </c>
      <c r="F65" s="4" t="s">
        <v>47</v>
      </c>
      <c r="G65" s="4" t="s">
        <v>48</v>
      </c>
      <c r="H65" s="4">
        <v>1</v>
      </c>
      <c r="I65" s="4">
        <v>149.99</v>
      </c>
      <c r="J65" s="4" t="s">
        <v>36</v>
      </c>
      <c r="K65" s="4" t="s">
        <v>42</v>
      </c>
      <c r="L65" s="4" t="s">
        <v>24</v>
      </c>
      <c r="M65" s="5">
        <v>44421</v>
      </c>
      <c r="N65" s="4">
        <v>149.99</v>
      </c>
      <c r="O65" s="9">
        <f t="shared" ca="1" si="1"/>
        <v>46106</v>
      </c>
      <c r="P65" s="10">
        <f t="shared" ca="1" si="2"/>
        <v>46106.913759606483</v>
      </c>
      <c r="Q65" s="11">
        <f t="shared" si="3"/>
        <v>34</v>
      </c>
      <c r="R65" s="11">
        <f t="shared" si="4"/>
        <v>31</v>
      </c>
      <c r="S65" s="13" t="str">
        <f t="shared" si="0"/>
        <v>normal</v>
      </c>
    </row>
    <row r="66" spans="1:19" ht="15.75" customHeight="1" x14ac:dyDescent="0.45">
      <c r="A66" s="4" t="s">
        <v>189</v>
      </c>
      <c r="B66" s="5">
        <v>45481</v>
      </c>
      <c r="C66" s="4" t="s">
        <v>44</v>
      </c>
      <c r="D66" s="4" t="s">
        <v>45</v>
      </c>
      <c r="E66" s="4" t="s">
        <v>82</v>
      </c>
      <c r="F66" s="4" t="s">
        <v>83</v>
      </c>
      <c r="G66" s="4" t="s">
        <v>21</v>
      </c>
      <c r="H66" s="4">
        <v>2</v>
      </c>
      <c r="I66" s="4">
        <v>699.99</v>
      </c>
      <c r="J66" s="4" t="s">
        <v>36</v>
      </c>
      <c r="K66" s="4" t="s">
        <v>65</v>
      </c>
      <c r="L66" s="4" t="s">
        <v>29</v>
      </c>
      <c r="M66" s="5">
        <v>45389</v>
      </c>
      <c r="N66" s="4">
        <v>1399.98</v>
      </c>
      <c r="O66" s="9">
        <f t="shared" ca="1" si="1"/>
        <v>46106</v>
      </c>
      <c r="P66" s="10">
        <f t="shared" ca="1" si="2"/>
        <v>46106.913759606483</v>
      </c>
      <c r="Q66" s="11">
        <f t="shared" si="3"/>
        <v>3</v>
      </c>
      <c r="R66" s="11">
        <f t="shared" si="4"/>
        <v>31</v>
      </c>
      <c r="S66" s="13" t="str">
        <f t="shared" ref="S66:S129" si="6">IF(N66&gt;2000,"high-value","normal")</f>
        <v>normal</v>
      </c>
    </row>
    <row r="67" spans="1:19" ht="15.75" customHeight="1" x14ac:dyDescent="0.45">
      <c r="A67" s="4" t="s">
        <v>190</v>
      </c>
      <c r="B67" s="5">
        <v>45481</v>
      </c>
      <c r="C67" s="4" t="s">
        <v>98</v>
      </c>
      <c r="D67" s="4" t="s">
        <v>99</v>
      </c>
      <c r="E67" s="4" t="s">
        <v>119</v>
      </c>
      <c r="F67" s="4" t="s">
        <v>120</v>
      </c>
      <c r="G67" s="4" t="s">
        <v>21</v>
      </c>
      <c r="H67" s="4">
        <v>5</v>
      </c>
      <c r="I67" s="4">
        <v>89.99</v>
      </c>
      <c r="J67" s="4" t="s">
        <v>59</v>
      </c>
      <c r="K67" s="4" t="s">
        <v>42</v>
      </c>
      <c r="L67" s="4" t="s">
        <v>29</v>
      </c>
      <c r="M67" s="5">
        <v>45161</v>
      </c>
      <c r="N67" s="4">
        <v>449.95</v>
      </c>
      <c r="O67" s="9">
        <f t="shared" ref="O67:O130" ca="1" si="7">TODAY()</f>
        <v>46106</v>
      </c>
      <c r="P67" s="10">
        <f t="shared" ref="P67:P130" ca="1" si="8">NOW()</f>
        <v>46106.913759606483</v>
      </c>
      <c r="Q67" s="11">
        <f t="shared" ref="Q67:Q130" si="9">DATEDIF(M67,B67,"M")</f>
        <v>10</v>
      </c>
      <c r="R67" s="11">
        <f t="shared" ref="R67:R130" si="10">DAY(EOMONTH(B67,0))</f>
        <v>31</v>
      </c>
      <c r="S67" s="13" t="str">
        <f t="shared" si="6"/>
        <v>normal</v>
      </c>
    </row>
    <row r="68" spans="1:19" ht="15.75" customHeight="1" x14ac:dyDescent="0.45">
      <c r="A68" s="4" t="s">
        <v>191</v>
      </c>
      <c r="B68" s="5">
        <v>45482</v>
      </c>
      <c r="C68" s="4" t="s">
        <v>173</v>
      </c>
      <c r="D68" s="4" t="s">
        <v>174</v>
      </c>
      <c r="E68" s="4" t="s">
        <v>33</v>
      </c>
      <c r="F68" s="4" t="s">
        <v>34</v>
      </c>
      <c r="G68" s="4" t="s">
        <v>35</v>
      </c>
      <c r="H68" s="4">
        <v>4</v>
      </c>
      <c r="I68" s="4">
        <v>59.99</v>
      </c>
      <c r="J68" s="4" t="s">
        <v>22</v>
      </c>
      <c r="K68" s="4" t="s">
        <v>37</v>
      </c>
      <c r="L68" s="4" t="s">
        <v>38</v>
      </c>
      <c r="M68" s="5">
        <v>44509</v>
      </c>
      <c r="N68" s="4">
        <v>239.96</v>
      </c>
      <c r="O68" s="9">
        <f t="shared" ca="1" si="7"/>
        <v>46106</v>
      </c>
      <c r="P68" s="10">
        <f t="shared" ca="1" si="8"/>
        <v>46106.913759606483</v>
      </c>
      <c r="Q68" s="11">
        <f t="shared" si="9"/>
        <v>32</v>
      </c>
      <c r="R68" s="11">
        <f t="shared" si="10"/>
        <v>31</v>
      </c>
      <c r="S68" s="13" t="str">
        <f t="shared" si="6"/>
        <v>normal</v>
      </c>
    </row>
    <row r="69" spans="1:19" ht="15.75" customHeight="1" x14ac:dyDescent="0.45">
      <c r="A69" s="4" t="s">
        <v>192</v>
      </c>
      <c r="B69" s="5">
        <v>45484</v>
      </c>
      <c r="C69" s="4" t="s">
        <v>26</v>
      </c>
      <c r="D69" s="4" t="s">
        <v>27</v>
      </c>
      <c r="E69" s="4" t="s">
        <v>54</v>
      </c>
      <c r="F69" s="4" t="s">
        <v>55</v>
      </c>
      <c r="G69" s="4" t="s">
        <v>21</v>
      </c>
      <c r="H69" s="4">
        <v>1</v>
      </c>
      <c r="I69" s="4">
        <v>149.99</v>
      </c>
      <c r="J69" s="4" t="s">
        <v>22</v>
      </c>
      <c r="K69" s="4" t="s">
        <v>23</v>
      </c>
      <c r="L69" s="4" t="s">
        <v>38</v>
      </c>
      <c r="M69" s="5">
        <v>44909</v>
      </c>
      <c r="N69" s="4">
        <v>149.99</v>
      </c>
      <c r="O69" s="9">
        <f t="shared" ca="1" si="7"/>
        <v>46106</v>
      </c>
      <c r="P69" s="10">
        <f t="shared" ca="1" si="8"/>
        <v>46106.913759606483</v>
      </c>
      <c r="Q69" s="11">
        <f t="shared" si="9"/>
        <v>18</v>
      </c>
      <c r="R69" s="11">
        <f t="shared" si="10"/>
        <v>31</v>
      </c>
      <c r="S69" s="13" t="str">
        <f t="shared" si="6"/>
        <v>normal</v>
      </c>
    </row>
    <row r="70" spans="1:19" ht="15.75" customHeight="1" x14ac:dyDescent="0.45">
      <c r="A70" s="4" t="s">
        <v>193</v>
      </c>
      <c r="B70" s="5">
        <v>45484</v>
      </c>
      <c r="C70" s="4" t="s">
        <v>194</v>
      </c>
      <c r="D70" s="4" t="s">
        <v>195</v>
      </c>
      <c r="E70" s="4" t="s">
        <v>107</v>
      </c>
      <c r="F70" s="4" t="s">
        <v>108</v>
      </c>
      <c r="G70" s="4" t="s">
        <v>48</v>
      </c>
      <c r="H70" s="4">
        <v>1</v>
      </c>
      <c r="I70" s="4">
        <v>299.99</v>
      </c>
      <c r="J70" s="4" t="s">
        <v>28</v>
      </c>
      <c r="K70" s="4" t="s">
        <v>42</v>
      </c>
      <c r="L70" s="4" t="s">
        <v>29</v>
      </c>
      <c r="M70" s="5">
        <v>44891</v>
      </c>
      <c r="N70" s="4">
        <v>299.99</v>
      </c>
      <c r="O70" s="9">
        <f t="shared" ca="1" si="7"/>
        <v>46106</v>
      </c>
      <c r="P70" s="10">
        <f t="shared" ca="1" si="8"/>
        <v>46106.913759606483</v>
      </c>
      <c r="Q70" s="11">
        <f t="shared" si="9"/>
        <v>19</v>
      </c>
      <c r="R70" s="11">
        <f t="shared" si="10"/>
        <v>31</v>
      </c>
      <c r="S70" s="13" t="str">
        <f t="shared" si="6"/>
        <v>normal</v>
      </c>
    </row>
    <row r="71" spans="1:19" ht="15.75" customHeight="1" x14ac:dyDescent="0.45">
      <c r="A71" s="4" t="s">
        <v>196</v>
      </c>
      <c r="B71" s="5">
        <v>45487</v>
      </c>
      <c r="C71" s="4" t="s">
        <v>194</v>
      </c>
      <c r="D71" s="4" t="s">
        <v>195</v>
      </c>
      <c r="E71" s="4" t="s">
        <v>128</v>
      </c>
      <c r="F71" s="4" t="s">
        <v>129</v>
      </c>
      <c r="G71" s="4" t="s">
        <v>48</v>
      </c>
      <c r="H71" s="4">
        <v>2</v>
      </c>
      <c r="I71" s="4">
        <v>199.99</v>
      </c>
      <c r="J71" s="4" t="s">
        <v>22</v>
      </c>
      <c r="K71" s="4" t="s">
        <v>42</v>
      </c>
      <c r="L71" s="4" t="s">
        <v>24</v>
      </c>
      <c r="M71" s="5">
        <v>44541</v>
      </c>
      <c r="N71" s="4">
        <v>399.98</v>
      </c>
      <c r="O71" s="9">
        <f t="shared" ca="1" si="7"/>
        <v>46106</v>
      </c>
      <c r="P71" s="10">
        <f t="shared" ca="1" si="8"/>
        <v>46106.913759606483</v>
      </c>
      <c r="Q71" s="11">
        <f t="shared" si="9"/>
        <v>31</v>
      </c>
      <c r="R71" s="11">
        <f t="shared" si="10"/>
        <v>31</v>
      </c>
      <c r="S71" s="13" t="str">
        <f t="shared" si="6"/>
        <v>normal</v>
      </c>
    </row>
    <row r="72" spans="1:19" ht="15.75" customHeight="1" x14ac:dyDescent="0.45">
      <c r="A72" s="4" t="s">
        <v>197</v>
      </c>
      <c r="B72" s="5">
        <v>45490</v>
      </c>
      <c r="C72" s="4" t="s">
        <v>198</v>
      </c>
      <c r="D72" s="4" t="s">
        <v>199</v>
      </c>
      <c r="E72" s="4" t="s">
        <v>33</v>
      </c>
      <c r="F72" s="4" t="s">
        <v>34</v>
      </c>
      <c r="G72" s="4" t="s">
        <v>35</v>
      </c>
      <c r="H72" s="4">
        <v>3</v>
      </c>
      <c r="I72" s="4">
        <v>59.99</v>
      </c>
      <c r="J72" s="4" t="s">
        <v>28</v>
      </c>
      <c r="K72" s="4" t="s">
        <v>52</v>
      </c>
      <c r="L72" s="4" t="s">
        <v>24</v>
      </c>
      <c r="M72" s="5">
        <v>45130</v>
      </c>
      <c r="N72" s="4">
        <v>179.97</v>
      </c>
      <c r="O72" s="9">
        <f t="shared" ca="1" si="7"/>
        <v>46106</v>
      </c>
      <c r="P72" s="10">
        <f t="shared" ca="1" si="8"/>
        <v>46106.913759606483</v>
      </c>
      <c r="Q72" s="11">
        <f t="shared" si="9"/>
        <v>11</v>
      </c>
      <c r="R72" s="11">
        <f t="shared" si="10"/>
        <v>31</v>
      </c>
      <c r="S72" s="13" t="str">
        <f t="shared" si="6"/>
        <v>normal</v>
      </c>
    </row>
    <row r="73" spans="1:19" ht="15.75" customHeight="1" x14ac:dyDescent="0.45">
      <c r="A73" s="4" t="s">
        <v>200</v>
      </c>
      <c r="B73" s="5">
        <v>45490</v>
      </c>
      <c r="C73" s="4" t="s">
        <v>74</v>
      </c>
      <c r="D73" s="4" t="s">
        <v>75</v>
      </c>
      <c r="E73" s="4" t="s">
        <v>46</v>
      </c>
      <c r="F73" s="4" t="s">
        <v>47</v>
      </c>
      <c r="G73" s="4" t="s">
        <v>48</v>
      </c>
      <c r="H73" s="4">
        <v>3</v>
      </c>
      <c r="I73" s="4">
        <v>149.99</v>
      </c>
      <c r="J73" s="4" t="s">
        <v>22</v>
      </c>
      <c r="K73" s="4" t="s">
        <v>23</v>
      </c>
      <c r="L73" s="4" t="s">
        <v>29</v>
      </c>
      <c r="M73" s="5">
        <v>45199</v>
      </c>
      <c r="N73" s="4">
        <v>449.97</v>
      </c>
      <c r="O73" s="9">
        <f t="shared" ca="1" si="7"/>
        <v>46106</v>
      </c>
      <c r="P73" s="10">
        <f t="shared" ca="1" si="8"/>
        <v>46106.913759606483</v>
      </c>
      <c r="Q73" s="11">
        <f t="shared" si="9"/>
        <v>9</v>
      </c>
      <c r="R73" s="11">
        <f t="shared" si="10"/>
        <v>31</v>
      </c>
      <c r="S73" s="13" t="str">
        <f t="shared" si="6"/>
        <v>normal</v>
      </c>
    </row>
    <row r="74" spans="1:19" ht="15.75" customHeight="1" x14ac:dyDescent="0.45">
      <c r="A74" s="4" t="s">
        <v>201</v>
      </c>
      <c r="B74" s="5">
        <v>45491</v>
      </c>
      <c r="C74" s="4" t="s">
        <v>67</v>
      </c>
      <c r="D74" s="4" t="s">
        <v>68</v>
      </c>
      <c r="E74" s="4" t="s">
        <v>128</v>
      </c>
      <c r="F74" s="4" t="s">
        <v>129</v>
      </c>
      <c r="G74" s="4" t="s">
        <v>48</v>
      </c>
      <c r="H74" s="4">
        <v>3</v>
      </c>
      <c r="I74" s="4">
        <v>199.99</v>
      </c>
      <c r="J74" s="4" t="s">
        <v>22</v>
      </c>
      <c r="K74" s="4" t="s">
        <v>42</v>
      </c>
      <c r="L74" s="4" t="s">
        <v>29</v>
      </c>
      <c r="M74" s="5">
        <v>45254</v>
      </c>
      <c r="N74" s="4">
        <v>599.97</v>
      </c>
      <c r="O74" s="9">
        <f t="shared" ca="1" si="7"/>
        <v>46106</v>
      </c>
      <c r="P74" s="10">
        <f t="shared" ca="1" si="8"/>
        <v>46106.913759606483</v>
      </c>
      <c r="Q74" s="11">
        <f t="shared" si="9"/>
        <v>7</v>
      </c>
      <c r="R74" s="11">
        <f t="shared" si="10"/>
        <v>31</v>
      </c>
      <c r="S74" s="13" t="str">
        <f t="shared" si="6"/>
        <v>normal</v>
      </c>
    </row>
    <row r="75" spans="1:19" ht="15.75" customHeight="1" x14ac:dyDescent="0.45">
      <c r="A75" s="4" t="s">
        <v>202</v>
      </c>
      <c r="B75" s="5">
        <v>45496</v>
      </c>
      <c r="C75" s="4" t="s">
        <v>152</v>
      </c>
      <c r="D75" s="4" t="s">
        <v>153</v>
      </c>
      <c r="E75" s="4" t="s">
        <v>63</v>
      </c>
      <c r="F75" s="4" t="s">
        <v>64</v>
      </c>
      <c r="G75" s="4" t="s">
        <v>21</v>
      </c>
      <c r="H75" s="4">
        <v>1</v>
      </c>
      <c r="I75" s="4">
        <v>899.99</v>
      </c>
      <c r="J75" s="4" t="s">
        <v>22</v>
      </c>
      <c r="K75" s="4" t="s">
        <v>23</v>
      </c>
      <c r="L75" s="4" t="s">
        <v>38</v>
      </c>
      <c r="M75" s="5">
        <v>45179</v>
      </c>
      <c r="N75" s="4">
        <v>899.99</v>
      </c>
      <c r="O75" s="9">
        <f t="shared" ca="1" si="7"/>
        <v>46106</v>
      </c>
      <c r="P75" s="10">
        <f t="shared" ca="1" si="8"/>
        <v>46106.913759606483</v>
      </c>
      <c r="Q75" s="11">
        <f t="shared" si="9"/>
        <v>10</v>
      </c>
      <c r="R75" s="11">
        <f t="shared" si="10"/>
        <v>31</v>
      </c>
      <c r="S75" s="13" t="str">
        <f t="shared" si="6"/>
        <v>normal</v>
      </c>
    </row>
    <row r="76" spans="1:19" ht="15.75" customHeight="1" x14ac:dyDescent="0.45">
      <c r="A76" s="4" t="s">
        <v>203</v>
      </c>
      <c r="B76" s="5">
        <v>45497</v>
      </c>
      <c r="C76" s="4" t="s">
        <v>26</v>
      </c>
      <c r="D76" s="4" t="s">
        <v>27</v>
      </c>
      <c r="E76" s="4" t="s">
        <v>63</v>
      </c>
      <c r="F76" s="4" t="s">
        <v>64</v>
      </c>
      <c r="G76" s="4" t="s">
        <v>21</v>
      </c>
      <c r="H76" s="4">
        <v>5</v>
      </c>
      <c r="I76" s="4">
        <v>899.99</v>
      </c>
      <c r="J76" s="4" t="s">
        <v>59</v>
      </c>
      <c r="K76" s="4" t="s">
        <v>37</v>
      </c>
      <c r="L76" s="4" t="s">
        <v>38</v>
      </c>
      <c r="M76" s="5">
        <v>44899</v>
      </c>
      <c r="N76" s="4">
        <v>4499.95</v>
      </c>
      <c r="O76" s="9">
        <f t="shared" ca="1" si="7"/>
        <v>46106</v>
      </c>
      <c r="P76" s="10">
        <f t="shared" ca="1" si="8"/>
        <v>46106.913759606483</v>
      </c>
      <c r="Q76" s="11">
        <f t="shared" si="9"/>
        <v>19</v>
      </c>
      <c r="R76" s="11">
        <f t="shared" si="10"/>
        <v>31</v>
      </c>
      <c r="S76" s="13" t="str">
        <f t="shared" si="6"/>
        <v>high-value</v>
      </c>
    </row>
    <row r="77" spans="1:19" ht="15.75" customHeight="1" x14ac:dyDescent="0.45">
      <c r="A77" s="4" t="s">
        <v>204</v>
      </c>
      <c r="B77" s="5">
        <v>45498</v>
      </c>
      <c r="C77" s="4" t="s">
        <v>184</v>
      </c>
      <c r="D77" s="4" t="s">
        <v>185</v>
      </c>
      <c r="E77" s="4" t="s">
        <v>33</v>
      </c>
      <c r="F77" s="4" t="s">
        <v>34</v>
      </c>
      <c r="G77" s="4" t="s">
        <v>35</v>
      </c>
      <c r="H77" s="4">
        <v>2</v>
      </c>
      <c r="I77" s="4">
        <v>59.99</v>
      </c>
      <c r="J77" s="4" t="s">
        <v>22</v>
      </c>
      <c r="K77" s="4" t="s">
        <v>42</v>
      </c>
      <c r="L77" s="4" t="s">
        <v>38</v>
      </c>
      <c r="M77" s="5">
        <v>45152</v>
      </c>
      <c r="N77" s="4">
        <v>119.98</v>
      </c>
      <c r="O77" s="9">
        <f t="shared" ca="1" si="7"/>
        <v>46106</v>
      </c>
      <c r="P77" s="10">
        <f t="shared" ca="1" si="8"/>
        <v>46106.913759606483</v>
      </c>
      <c r="Q77" s="11">
        <f t="shared" si="9"/>
        <v>11</v>
      </c>
      <c r="R77" s="11">
        <f t="shared" si="10"/>
        <v>31</v>
      </c>
      <c r="S77" s="13" t="str">
        <f t="shared" si="6"/>
        <v>normal</v>
      </c>
    </row>
    <row r="78" spans="1:19" ht="15.75" customHeight="1" x14ac:dyDescent="0.45">
      <c r="A78" s="4" t="s">
        <v>205</v>
      </c>
      <c r="B78" s="5">
        <v>45498</v>
      </c>
      <c r="C78" s="4" t="s">
        <v>198</v>
      </c>
      <c r="D78" s="4" t="s">
        <v>199</v>
      </c>
      <c r="E78" s="4" t="s">
        <v>19</v>
      </c>
      <c r="F78" s="4" t="s">
        <v>20</v>
      </c>
      <c r="G78" s="4" t="s">
        <v>21</v>
      </c>
      <c r="H78" s="4">
        <v>4</v>
      </c>
      <c r="I78" s="4">
        <v>249.99</v>
      </c>
      <c r="J78" s="4" t="s">
        <v>59</v>
      </c>
      <c r="K78" s="4" t="s">
        <v>23</v>
      </c>
      <c r="L78" s="4" t="s">
        <v>38</v>
      </c>
      <c r="M78" s="5">
        <v>45127</v>
      </c>
      <c r="N78" s="4">
        <v>999.96</v>
      </c>
      <c r="O78" s="9">
        <f t="shared" ca="1" si="7"/>
        <v>46106</v>
      </c>
      <c r="P78" s="10">
        <f t="shared" ca="1" si="8"/>
        <v>46106.913759606483</v>
      </c>
      <c r="Q78" s="11">
        <f t="shared" si="9"/>
        <v>12</v>
      </c>
      <c r="R78" s="11">
        <f t="shared" si="10"/>
        <v>31</v>
      </c>
      <c r="S78" s="13" t="str">
        <f t="shared" si="6"/>
        <v>normal</v>
      </c>
    </row>
    <row r="79" spans="1:19" ht="15.75" customHeight="1" x14ac:dyDescent="0.45">
      <c r="A79" s="4" t="s">
        <v>206</v>
      </c>
      <c r="B79" s="5">
        <v>45500</v>
      </c>
      <c r="C79" s="4" t="s">
        <v>98</v>
      </c>
      <c r="D79" s="4" t="s">
        <v>99</v>
      </c>
      <c r="E79" s="4" t="s">
        <v>19</v>
      </c>
      <c r="F79" s="4" t="s">
        <v>20</v>
      </c>
      <c r="G79" s="4" t="s">
        <v>21</v>
      </c>
      <c r="H79" s="4">
        <v>2</v>
      </c>
      <c r="I79" s="4">
        <v>249.99</v>
      </c>
      <c r="J79" s="4" t="s">
        <v>22</v>
      </c>
      <c r="K79" s="4" t="s">
        <v>42</v>
      </c>
      <c r="L79" s="4" t="s">
        <v>29</v>
      </c>
      <c r="M79" s="5">
        <v>45164</v>
      </c>
      <c r="N79" s="4">
        <v>499.98</v>
      </c>
      <c r="O79" s="9">
        <f t="shared" ca="1" si="7"/>
        <v>46106</v>
      </c>
      <c r="P79" s="10">
        <f t="shared" ca="1" si="8"/>
        <v>46106.913759606483</v>
      </c>
      <c r="Q79" s="11">
        <f t="shared" si="9"/>
        <v>11</v>
      </c>
      <c r="R79" s="11">
        <f t="shared" si="10"/>
        <v>31</v>
      </c>
      <c r="S79" s="13" t="str">
        <f t="shared" si="6"/>
        <v>normal</v>
      </c>
    </row>
    <row r="80" spans="1:19" ht="15.75" customHeight="1" x14ac:dyDescent="0.45">
      <c r="A80" s="4" t="s">
        <v>207</v>
      </c>
      <c r="B80" s="5">
        <v>45500</v>
      </c>
      <c r="C80" s="4" t="s">
        <v>149</v>
      </c>
      <c r="D80" s="4" t="s">
        <v>150</v>
      </c>
      <c r="E80" s="4" t="s">
        <v>107</v>
      </c>
      <c r="F80" s="4" t="s">
        <v>108</v>
      </c>
      <c r="G80" s="4" t="s">
        <v>48</v>
      </c>
      <c r="H80" s="4">
        <v>1</v>
      </c>
      <c r="I80" s="4">
        <v>299.99</v>
      </c>
      <c r="J80" s="4" t="s">
        <v>22</v>
      </c>
      <c r="K80" s="4" t="s">
        <v>37</v>
      </c>
      <c r="L80" s="4" t="s">
        <v>24</v>
      </c>
      <c r="M80" s="5">
        <v>44982</v>
      </c>
      <c r="N80" s="4">
        <v>299.99</v>
      </c>
      <c r="O80" s="9">
        <f t="shared" ca="1" si="7"/>
        <v>46106</v>
      </c>
      <c r="P80" s="10">
        <f t="shared" ca="1" si="8"/>
        <v>46106.913759606483</v>
      </c>
      <c r="Q80" s="11">
        <f t="shared" si="9"/>
        <v>17</v>
      </c>
      <c r="R80" s="11">
        <f t="shared" si="10"/>
        <v>31</v>
      </c>
      <c r="S80" s="13" t="str">
        <f t="shared" si="6"/>
        <v>normal</v>
      </c>
    </row>
    <row r="81" spans="1:19" ht="15.75" customHeight="1" x14ac:dyDescent="0.45">
      <c r="A81" s="4" t="s">
        <v>208</v>
      </c>
      <c r="B81" s="5">
        <v>45501</v>
      </c>
      <c r="C81" s="4" t="s">
        <v>88</v>
      </c>
      <c r="D81" s="4" t="s">
        <v>89</v>
      </c>
      <c r="E81" s="4" t="s">
        <v>119</v>
      </c>
      <c r="F81" s="4" t="s">
        <v>120</v>
      </c>
      <c r="G81" s="4" t="s">
        <v>21</v>
      </c>
      <c r="H81" s="4">
        <v>2</v>
      </c>
      <c r="I81" s="4">
        <v>89.99</v>
      </c>
      <c r="J81" s="4" t="s">
        <v>36</v>
      </c>
      <c r="K81" s="4" t="s">
        <v>37</v>
      </c>
      <c r="L81" s="4" t="s">
        <v>24</v>
      </c>
      <c r="M81" s="5">
        <v>44976</v>
      </c>
      <c r="N81" s="4">
        <v>179.98</v>
      </c>
      <c r="O81" s="9">
        <f t="shared" ca="1" si="7"/>
        <v>46106</v>
      </c>
      <c r="P81" s="10">
        <f t="shared" ca="1" si="8"/>
        <v>46106.913759606483</v>
      </c>
      <c r="Q81" s="11">
        <f t="shared" si="9"/>
        <v>17</v>
      </c>
      <c r="R81" s="11">
        <f t="shared" si="10"/>
        <v>31</v>
      </c>
      <c r="S81" s="13" t="str">
        <f t="shared" si="6"/>
        <v>normal</v>
      </c>
    </row>
    <row r="82" spans="1:19" ht="15.75" customHeight="1" x14ac:dyDescent="0.45">
      <c r="A82" s="4" t="s">
        <v>209</v>
      </c>
      <c r="B82" s="5">
        <v>45501</v>
      </c>
      <c r="C82" s="4" t="s">
        <v>149</v>
      </c>
      <c r="D82" s="4" t="s">
        <v>150</v>
      </c>
      <c r="E82" s="4" t="s">
        <v>107</v>
      </c>
      <c r="F82" s="4" t="s">
        <v>108</v>
      </c>
      <c r="G82" s="4" t="s">
        <v>48</v>
      </c>
      <c r="H82" s="4">
        <v>3</v>
      </c>
      <c r="I82" s="4">
        <v>299.99</v>
      </c>
      <c r="J82" s="4" t="s">
        <v>22</v>
      </c>
      <c r="K82" s="4" t="s">
        <v>23</v>
      </c>
      <c r="L82" s="4" t="s">
        <v>24</v>
      </c>
      <c r="M82" s="5">
        <v>44732</v>
      </c>
      <c r="N82" s="4">
        <v>899.97</v>
      </c>
      <c r="O82" s="9">
        <f t="shared" ca="1" si="7"/>
        <v>46106</v>
      </c>
      <c r="P82" s="10">
        <f t="shared" ca="1" si="8"/>
        <v>46106.913759606483</v>
      </c>
      <c r="Q82" s="11">
        <f t="shared" si="9"/>
        <v>25</v>
      </c>
      <c r="R82" s="11">
        <f t="shared" si="10"/>
        <v>31</v>
      </c>
      <c r="S82" s="13" t="str">
        <f t="shared" si="6"/>
        <v>normal</v>
      </c>
    </row>
    <row r="83" spans="1:19" ht="15.75" customHeight="1" x14ac:dyDescent="0.45">
      <c r="A83" s="4" t="s">
        <v>210</v>
      </c>
      <c r="B83" s="5">
        <v>45503</v>
      </c>
      <c r="C83" s="4" t="s">
        <v>88</v>
      </c>
      <c r="D83" s="4" t="s">
        <v>89</v>
      </c>
      <c r="E83" s="4" t="s">
        <v>82</v>
      </c>
      <c r="F83" s="4" t="s">
        <v>83</v>
      </c>
      <c r="G83" s="4" t="s">
        <v>21</v>
      </c>
      <c r="H83" s="4">
        <v>2</v>
      </c>
      <c r="I83" s="4">
        <v>699.99</v>
      </c>
      <c r="J83" s="4" t="s">
        <v>28</v>
      </c>
      <c r="K83" s="4" t="s">
        <v>42</v>
      </c>
      <c r="L83" s="4" t="s">
        <v>29</v>
      </c>
      <c r="M83" s="5">
        <v>44999</v>
      </c>
      <c r="N83" s="4">
        <v>1399.98</v>
      </c>
      <c r="O83" s="9">
        <f t="shared" ca="1" si="7"/>
        <v>46106</v>
      </c>
      <c r="P83" s="10">
        <f t="shared" ca="1" si="8"/>
        <v>46106.913759606483</v>
      </c>
      <c r="Q83" s="11">
        <f t="shared" si="9"/>
        <v>16</v>
      </c>
      <c r="R83" s="11">
        <f t="shared" si="10"/>
        <v>31</v>
      </c>
      <c r="S83" s="13" t="str">
        <f t="shared" si="6"/>
        <v>normal</v>
      </c>
    </row>
    <row r="84" spans="1:19" ht="15.75" customHeight="1" x14ac:dyDescent="0.45">
      <c r="A84" s="4" t="s">
        <v>211</v>
      </c>
      <c r="B84" s="5">
        <v>45504</v>
      </c>
      <c r="C84" s="4" t="s">
        <v>122</v>
      </c>
      <c r="D84" s="4" t="s">
        <v>123</v>
      </c>
      <c r="E84" s="4" t="s">
        <v>63</v>
      </c>
      <c r="F84" s="4" t="s">
        <v>64</v>
      </c>
      <c r="G84" s="4" t="s">
        <v>21</v>
      </c>
      <c r="H84" s="4">
        <v>4</v>
      </c>
      <c r="I84" s="4">
        <v>899.99</v>
      </c>
      <c r="J84" s="4" t="s">
        <v>59</v>
      </c>
      <c r="K84" s="4" t="s">
        <v>37</v>
      </c>
      <c r="L84" s="4" t="s">
        <v>38</v>
      </c>
      <c r="M84" s="5">
        <v>44523</v>
      </c>
      <c r="N84" s="4">
        <v>3599.96</v>
      </c>
      <c r="O84" s="9">
        <f t="shared" ca="1" si="7"/>
        <v>46106</v>
      </c>
      <c r="P84" s="10">
        <f t="shared" ca="1" si="8"/>
        <v>46106.913759606483</v>
      </c>
      <c r="Q84" s="11">
        <f t="shared" si="9"/>
        <v>32</v>
      </c>
      <c r="R84" s="11">
        <f t="shared" si="10"/>
        <v>31</v>
      </c>
      <c r="S84" s="13" t="str">
        <f t="shared" si="6"/>
        <v>high-value</v>
      </c>
    </row>
    <row r="85" spans="1:19" ht="15.75" customHeight="1" x14ac:dyDescent="0.45">
      <c r="A85" s="4" t="s">
        <v>212</v>
      </c>
      <c r="B85" s="5">
        <v>45509</v>
      </c>
      <c r="C85" s="4" t="s">
        <v>213</v>
      </c>
      <c r="D85" s="4" t="s">
        <v>214</v>
      </c>
      <c r="E85" s="4" t="s">
        <v>46</v>
      </c>
      <c r="F85" s="4" t="s">
        <v>47</v>
      </c>
      <c r="G85" s="4" t="s">
        <v>48</v>
      </c>
      <c r="H85" s="4">
        <v>2</v>
      </c>
      <c r="I85" s="4">
        <v>149.99</v>
      </c>
      <c r="J85" s="4" t="s">
        <v>28</v>
      </c>
      <c r="K85" s="4" t="s">
        <v>52</v>
      </c>
      <c r="L85" s="4" t="s">
        <v>24</v>
      </c>
      <c r="M85" s="5">
        <v>44542</v>
      </c>
      <c r="N85" s="4">
        <v>299.98</v>
      </c>
      <c r="O85" s="9">
        <f t="shared" ca="1" si="7"/>
        <v>46106</v>
      </c>
      <c r="P85" s="10">
        <f t="shared" ca="1" si="8"/>
        <v>46106.913759606483</v>
      </c>
      <c r="Q85" s="11">
        <f t="shared" si="9"/>
        <v>31</v>
      </c>
      <c r="R85" s="11">
        <f t="shared" si="10"/>
        <v>31</v>
      </c>
      <c r="S85" s="13" t="str">
        <f t="shared" si="6"/>
        <v>normal</v>
      </c>
    </row>
    <row r="86" spans="1:19" ht="15.75" customHeight="1" x14ac:dyDescent="0.45">
      <c r="A86" s="4" t="s">
        <v>215</v>
      </c>
      <c r="B86" s="5">
        <v>45510</v>
      </c>
      <c r="C86" s="4" t="s">
        <v>104</v>
      </c>
      <c r="D86" s="4" t="s">
        <v>105</v>
      </c>
      <c r="E86" s="4" t="s">
        <v>46</v>
      </c>
      <c r="F86" s="4" t="s">
        <v>47</v>
      </c>
      <c r="G86" s="4" t="s">
        <v>48</v>
      </c>
      <c r="H86" s="4">
        <v>2</v>
      </c>
      <c r="I86" s="4">
        <v>149.99</v>
      </c>
      <c r="J86" s="4" t="s">
        <v>59</v>
      </c>
      <c r="K86" s="4" t="s">
        <v>65</v>
      </c>
      <c r="L86" s="4" t="s">
        <v>38</v>
      </c>
      <c r="M86" s="5">
        <v>44667</v>
      </c>
      <c r="N86" s="4">
        <v>299.98</v>
      </c>
      <c r="O86" s="9">
        <f t="shared" ca="1" si="7"/>
        <v>46106</v>
      </c>
      <c r="P86" s="10">
        <f t="shared" ca="1" si="8"/>
        <v>46106.913759606483</v>
      </c>
      <c r="Q86" s="11">
        <f t="shared" si="9"/>
        <v>27</v>
      </c>
      <c r="R86" s="11">
        <f t="shared" si="10"/>
        <v>31</v>
      </c>
      <c r="S86" s="13" t="str">
        <f t="shared" si="6"/>
        <v>normal</v>
      </c>
    </row>
    <row r="87" spans="1:19" ht="15.75" customHeight="1" x14ac:dyDescent="0.45">
      <c r="A87" s="4" t="s">
        <v>216</v>
      </c>
      <c r="B87" s="5">
        <v>45513</v>
      </c>
      <c r="C87" s="4" t="s">
        <v>91</v>
      </c>
      <c r="D87" s="4" t="s">
        <v>92</v>
      </c>
      <c r="E87" s="4" t="s">
        <v>119</v>
      </c>
      <c r="F87" s="4" t="s">
        <v>120</v>
      </c>
      <c r="G87" s="4" t="s">
        <v>21</v>
      </c>
      <c r="H87" s="4">
        <v>1</v>
      </c>
      <c r="I87" s="4">
        <v>89.99</v>
      </c>
      <c r="J87" s="4" t="s">
        <v>28</v>
      </c>
      <c r="K87" s="4" t="s">
        <v>42</v>
      </c>
      <c r="L87" s="4" t="s">
        <v>38</v>
      </c>
      <c r="M87" s="5">
        <v>45393</v>
      </c>
      <c r="N87" s="4">
        <v>89.99</v>
      </c>
      <c r="O87" s="9">
        <f t="shared" ca="1" si="7"/>
        <v>46106</v>
      </c>
      <c r="P87" s="10">
        <f t="shared" ca="1" si="8"/>
        <v>46106.913759606483</v>
      </c>
      <c r="Q87" s="11">
        <f t="shared" si="9"/>
        <v>3</v>
      </c>
      <c r="R87" s="11">
        <f t="shared" si="10"/>
        <v>31</v>
      </c>
      <c r="S87" s="13" t="str">
        <f t="shared" si="6"/>
        <v>normal</v>
      </c>
    </row>
    <row r="88" spans="1:19" ht="15.75" customHeight="1" x14ac:dyDescent="0.45">
      <c r="A88" s="4" t="s">
        <v>217</v>
      </c>
      <c r="B88" s="5">
        <v>45515</v>
      </c>
      <c r="C88" s="4" t="s">
        <v>88</v>
      </c>
      <c r="D88" s="4" t="s">
        <v>89</v>
      </c>
      <c r="E88" s="4" t="s">
        <v>107</v>
      </c>
      <c r="F88" s="4" t="s">
        <v>108</v>
      </c>
      <c r="G88" s="4" t="s">
        <v>48</v>
      </c>
      <c r="H88" s="4">
        <v>5</v>
      </c>
      <c r="I88" s="4">
        <v>299.99</v>
      </c>
      <c r="J88" s="4" t="s">
        <v>28</v>
      </c>
      <c r="K88" s="4" t="s">
        <v>42</v>
      </c>
      <c r="L88" s="4" t="s">
        <v>24</v>
      </c>
      <c r="M88" s="5">
        <v>44965</v>
      </c>
      <c r="N88" s="4">
        <v>1499.95</v>
      </c>
      <c r="O88" s="9">
        <f t="shared" ca="1" si="7"/>
        <v>46106</v>
      </c>
      <c r="P88" s="10">
        <f t="shared" ca="1" si="8"/>
        <v>46106.913759606483</v>
      </c>
      <c r="Q88" s="11">
        <f t="shared" si="9"/>
        <v>18</v>
      </c>
      <c r="R88" s="11">
        <f t="shared" si="10"/>
        <v>31</v>
      </c>
      <c r="S88" s="13" t="str">
        <f t="shared" si="6"/>
        <v>normal</v>
      </c>
    </row>
    <row r="89" spans="1:19" ht="15.75" customHeight="1" x14ac:dyDescent="0.45">
      <c r="A89" s="4" t="s">
        <v>218</v>
      </c>
      <c r="B89" s="5">
        <v>45517</v>
      </c>
      <c r="C89" s="4" t="s">
        <v>184</v>
      </c>
      <c r="D89" s="4" t="s">
        <v>185</v>
      </c>
      <c r="E89" s="4" t="s">
        <v>54</v>
      </c>
      <c r="F89" s="4" t="s">
        <v>55</v>
      </c>
      <c r="G89" s="4" t="s">
        <v>21</v>
      </c>
      <c r="H89" s="4">
        <v>4</v>
      </c>
      <c r="I89" s="4">
        <v>149.99</v>
      </c>
      <c r="J89" s="4" t="s">
        <v>59</v>
      </c>
      <c r="K89" s="4" t="s">
        <v>37</v>
      </c>
      <c r="L89" s="4" t="s">
        <v>29</v>
      </c>
      <c r="M89" s="5">
        <v>44820</v>
      </c>
      <c r="N89" s="4">
        <v>599.96</v>
      </c>
      <c r="O89" s="9">
        <f t="shared" ca="1" si="7"/>
        <v>46106</v>
      </c>
      <c r="P89" s="10">
        <f t="shared" ca="1" si="8"/>
        <v>46106.913759606483</v>
      </c>
      <c r="Q89" s="11">
        <f t="shared" si="9"/>
        <v>22</v>
      </c>
      <c r="R89" s="11">
        <f t="shared" si="10"/>
        <v>31</v>
      </c>
      <c r="S89" s="13" t="str">
        <f t="shared" si="6"/>
        <v>normal</v>
      </c>
    </row>
    <row r="90" spans="1:19" ht="15.75" customHeight="1" x14ac:dyDescent="0.45">
      <c r="A90" s="4" t="s">
        <v>219</v>
      </c>
      <c r="B90" s="5">
        <v>45517</v>
      </c>
      <c r="C90" s="4" t="s">
        <v>187</v>
      </c>
      <c r="D90" s="4" t="s">
        <v>188</v>
      </c>
      <c r="E90" s="4" t="s">
        <v>19</v>
      </c>
      <c r="F90" s="4" t="s">
        <v>20</v>
      </c>
      <c r="G90" s="4" t="s">
        <v>21</v>
      </c>
      <c r="H90" s="4">
        <v>5</v>
      </c>
      <c r="I90" s="4">
        <v>249.99</v>
      </c>
      <c r="J90" s="4" t="s">
        <v>36</v>
      </c>
      <c r="K90" s="4" t="s">
        <v>65</v>
      </c>
      <c r="L90" s="4" t="s">
        <v>29</v>
      </c>
      <c r="M90" s="5">
        <v>44782</v>
      </c>
      <c r="N90" s="4">
        <v>1249.95</v>
      </c>
      <c r="O90" s="9">
        <f t="shared" ca="1" si="7"/>
        <v>46106</v>
      </c>
      <c r="P90" s="10">
        <f t="shared" ca="1" si="8"/>
        <v>46106.913759606483</v>
      </c>
      <c r="Q90" s="11">
        <f t="shared" si="9"/>
        <v>24</v>
      </c>
      <c r="R90" s="11">
        <f t="shared" si="10"/>
        <v>31</v>
      </c>
      <c r="S90" s="13" t="str">
        <f t="shared" si="6"/>
        <v>normal</v>
      </c>
    </row>
    <row r="91" spans="1:19" ht="15.75" customHeight="1" x14ac:dyDescent="0.45">
      <c r="A91" s="4" t="s">
        <v>220</v>
      </c>
      <c r="B91" s="5">
        <v>45517</v>
      </c>
      <c r="C91" s="4" t="s">
        <v>67</v>
      </c>
      <c r="D91" s="4" t="s">
        <v>68</v>
      </c>
      <c r="E91" s="4" t="s">
        <v>19</v>
      </c>
      <c r="F91" s="4" t="s">
        <v>20</v>
      </c>
      <c r="G91" s="4" t="s">
        <v>21</v>
      </c>
      <c r="H91" s="4">
        <v>3</v>
      </c>
      <c r="I91" s="4">
        <v>249.99</v>
      </c>
      <c r="J91" s="4" t="s">
        <v>36</v>
      </c>
      <c r="K91" s="4" t="s">
        <v>42</v>
      </c>
      <c r="L91" s="4" t="s">
        <v>29</v>
      </c>
      <c r="M91" s="5">
        <v>44465</v>
      </c>
      <c r="N91" s="4">
        <v>749.97</v>
      </c>
      <c r="O91" s="9">
        <f t="shared" ca="1" si="7"/>
        <v>46106</v>
      </c>
      <c r="P91" s="10">
        <f t="shared" ca="1" si="8"/>
        <v>46106.913759606483</v>
      </c>
      <c r="Q91" s="11">
        <f t="shared" si="9"/>
        <v>34</v>
      </c>
      <c r="R91" s="11">
        <f t="shared" si="10"/>
        <v>31</v>
      </c>
      <c r="S91" s="13" t="str">
        <f t="shared" si="6"/>
        <v>normal</v>
      </c>
    </row>
    <row r="92" spans="1:19" ht="15.75" customHeight="1" x14ac:dyDescent="0.45">
      <c r="A92" s="4" t="s">
        <v>221</v>
      </c>
      <c r="B92" s="5">
        <v>45517</v>
      </c>
      <c r="C92" s="4" t="s">
        <v>40</v>
      </c>
      <c r="D92" s="4" t="s">
        <v>41</v>
      </c>
      <c r="E92" s="4" t="s">
        <v>128</v>
      </c>
      <c r="F92" s="4" t="s">
        <v>129</v>
      </c>
      <c r="G92" s="4" t="s">
        <v>48</v>
      </c>
      <c r="H92" s="4">
        <v>4</v>
      </c>
      <c r="I92" s="4">
        <v>199.99</v>
      </c>
      <c r="J92" s="4" t="s">
        <v>22</v>
      </c>
      <c r="K92" s="4" t="s">
        <v>42</v>
      </c>
      <c r="L92" s="4" t="s">
        <v>38</v>
      </c>
      <c r="M92" s="5">
        <v>44458</v>
      </c>
      <c r="N92" s="4">
        <v>799.96</v>
      </c>
      <c r="O92" s="9">
        <f t="shared" ca="1" si="7"/>
        <v>46106</v>
      </c>
      <c r="P92" s="10">
        <f t="shared" ca="1" si="8"/>
        <v>46106.913759606483</v>
      </c>
      <c r="Q92" s="11">
        <f t="shared" si="9"/>
        <v>34</v>
      </c>
      <c r="R92" s="11">
        <f t="shared" si="10"/>
        <v>31</v>
      </c>
      <c r="S92" s="13" t="str">
        <f t="shared" si="6"/>
        <v>normal</v>
      </c>
    </row>
    <row r="93" spans="1:19" ht="15.75" customHeight="1" x14ac:dyDescent="0.45">
      <c r="A93" s="4" t="s">
        <v>222</v>
      </c>
      <c r="B93" s="5">
        <v>45519</v>
      </c>
      <c r="C93" s="4" t="s">
        <v>160</v>
      </c>
      <c r="D93" s="4" t="s">
        <v>161</v>
      </c>
      <c r="E93" s="4" t="s">
        <v>128</v>
      </c>
      <c r="F93" s="4" t="s">
        <v>129</v>
      </c>
      <c r="G93" s="4" t="s">
        <v>48</v>
      </c>
      <c r="H93" s="4">
        <v>5</v>
      </c>
      <c r="I93" s="4">
        <v>199.99</v>
      </c>
      <c r="J93" s="4" t="s">
        <v>22</v>
      </c>
      <c r="K93" s="4" t="s">
        <v>42</v>
      </c>
      <c r="L93" s="4" t="s">
        <v>29</v>
      </c>
      <c r="M93" s="5">
        <v>44991</v>
      </c>
      <c r="N93" s="4">
        <v>999.95</v>
      </c>
      <c r="O93" s="9">
        <f t="shared" ca="1" si="7"/>
        <v>46106</v>
      </c>
      <c r="P93" s="10">
        <f t="shared" ca="1" si="8"/>
        <v>46106.913759606483</v>
      </c>
      <c r="Q93" s="11">
        <f t="shared" si="9"/>
        <v>17</v>
      </c>
      <c r="R93" s="11">
        <f t="shared" si="10"/>
        <v>31</v>
      </c>
      <c r="S93" s="13" t="str">
        <f t="shared" si="6"/>
        <v>normal</v>
      </c>
    </row>
    <row r="94" spans="1:19" ht="15.75" customHeight="1" x14ac:dyDescent="0.45">
      <c r="A94" s="4" t="s">
        <v>223</v>
      </c>
      <c r="B94" s="5">
        <v>45522</v>
      </c>
      <c r="C94" s="4" t="s">
        <v>88</v>
      </c>
      <c r="D94" s="4" t="s">
        <v>89</v>
      </c>
      <c r="E94" s="4" t="s">
        <v>119</v>
      </c>
      <c r="F94" s="4" t="s">
        <v>120</v>
      </c>
      <c r="G94" s="4" t="s">
        <v>21</v>
      </c>
      <c r="H94" s="4">
        <v>2</v>
      </c>
      <c r="I94" s="4">
        <v>89.99</v>
      </c>
      <c r="J94" s="4" t="s">
        <v>22</v>
      </c>
      <c r="K94" s="4" t="s">
        <v>65</v>
      </c>
      <c r="L94" s="4" t="s">
        <v>29</v>
      </c>
      <c r="M94" s="5">
        <v>44972</v>
      </c>
      <c r="N94" s="4">
        <v>179.98</v>
      </c>
      <c r="O94" s="9">
        <f t="shared" ca="1" si="7"/>
        <v>46106</v>
      </c>
      <c r="P94" s="10">
        <f t="shared" ca="1" si="8"/>
        <v>46106.913759606483</v>
      </c>
      <c r="Q94" s="11">
        <f t="shared" si="9"/>
        <v>18</v>
      </c>
      <c r="R94" s="11">
        <f t="shared" si="10"/>
        <v>31</v>
      </c>
      <c r="S94" s="13" t="str">
        <f t="shared" si="6"/>
        <v>normal</v>
      </c>
    </row>
    <row r="95" spans="1:19" ht="15.75" customHeight="1" x14ac:dyDescent="0.45">
      <c r="A95" s="4" t="s">
        <v>224</v>
      </c>
      <c r="B95" s="5">
        <v>45523</v>
      </c>
      <c r="C95" s="4" t="s">
        <v>198</v>
      </c>
      <c r="D95" s="4" t="s">
        <v>199</v>
      </c>
      <c r="E95" s="4" t="s">
        <v>63</v>
      </c>
      <c r="F95" s="4" t="s">
        <v>64</v>
      </c>
      <c r="G95" s="4" t="s">
        <v>21</v>
      </c>
      <c r="H95" s="4">
        <v>5</v>
      </c>
      <c r="I95" s="4">
        <v>899.99</v>
      </c>
      <c r="J95" s="4" t="s">
        <v>59</v>
      </c>
      <c r="K95" s="4" t="s">
        <v>65</v>
      </c>
      <c r="L95" s="4" t="s">
        <v>24</v>
      </c>
      <c r="M95" s="5">
        <v>44526</v>
      </c>
      <c r="N95" s="4">
        <v>4499.95</v>
      </c>
      <c r="O95" s="9">
        <f t="shared" ca="1" si="7"/>
        <v>46106</v>
      </c>
      <c r="P95" s="10">
        <f t="shared" ca="1" si="8"/>
        <v>46106.913759606483</v>
      </c>
      <c r="Q95" s="11">
        <f t="shared" si="9"/>
        <v>32</v>
      </c>
      <c r="R95" s="11">
        <f t="shared" si="10"/>
        <v>31</v>
      </c>
      <c r="S95" s="13" t="str">
        <f t="shared" si="6"/>
        <v>high-value</v>
      </c>
    </row>
    <row r="96" spans="1:19" ht="15.75" customHeight="1" x14ac:dyDescent="0.45">
      <c r="A96" s="4" t="s">
        <v>225</v>
      </c>
      <c r="B96" s="5">
        <v>45523</v>
      </c>
      <c r="C96" s="4" t="s">
        <v>110</v>
      </c>
      <c r="D96" s="4" t="s">
        <v>111</v>
      </c>
      <c r="E96" s="4" t="s">
        <v>54</v>
      </c>
      <c r="F96" s="4" t="s">
        <v>55</v>
      </c>
      <c r="G96" s="4" t="s">
        <v>21</v>
      </c>
      <c r="H96" s="4">
        <v>3</v>
      </c>
      <c r="I96" s="4">
        <v>149.99</v>
      </c>
      <c r="J96" s="4" t="s">
        <v>36</v>
      </c>
      <c r="K96" s="4" t="s">
        <v>65</v>
      </c>
      <c r="L96" s="4" t="s">
        <v>24</v>
      </c>
      <c r="M96" s="5">
        <v>44574</v>
      </c>
      <c r="N96" s="4">
        <v>449.97</v>
      </c>
      <c r="O96" s="9">
        <f t="shared" ca="1" si="7"/>
        <v>46106</v>
      </c>
      <c r="P96" s="10">
        <f t="shared" ca="1" si="8"/>
        <v>46106.913759606483</v>
      </c>
      <c r="Q96" s="11">
        <f t="shared" si="9"/>
        <v>31</v>
      </c>
      <c r="R96" s="11">
        <f t="shared" si="10"/>
        <v>31</v>
      </c>
      <c r="S96" s="13" t="str">
        <f t="shared" si="6"/>
        <v>normal</v>
      </c>
    </row>
    <row r="97" spans="1:19" ht="15.75" customHeight="1" x14ac:dyDescent="0.45">
      <c r="A97" s="4" t="s">
        <v>226</v>
      </c>
      <c r="B97" s="5">
        <v>45526</v>
      </c>
      <c r="C97" s="4" t="s">
        <v>104</v>
      </c>
      <c r="D97" s="4" t="s">
        <v>105</v>
      </c>
      <c r="E97" s="4" t="s">
        <v>46</v>
      </c>
      <c r="F97" s="4" t="s">
        <v>47</v>
      </c>
      <c r="G97" s="4" t="s">
        <v>48</v>
      </c>
      <c r="H97" s="4">
        <v>5</v>
      </c>
      <c r="I97" s="4">
        <v>149.99</v>
      </c>
      <c r="J97" s="4" t="s">
        <v>28</v>
      </c>
      <c r="K97" s="4" t="s">
        <v>23</v>
      </c>
      <c r="L97" s="4" t="s">
        <v>24</v>
      </c>
      <c r="M97" s="5">
        <v>45310</v>
      </c>
      <c r="N97" s="4">
        <v>749.95</v>
      </c>
      <c r="O97" s="9">
        <f t="shared" ca="1" si="7"/>
        <v>46106</v>
      </c>
      <c r="P97" s="10">
        <f t="shared" ca="1" si="8"/>
        <v>46106.913759606483</v>
      </c>
      <c r="Q97" s="11">
        <f t="shared" si="9"/>
        <v>7</v>
      </c>
      <c r="R97" s="11">
        <f t="shared" si="10"/>
        <v>31</v>
      </c>
      <c r="S97" s="13" t="str">
        <f t="shared" si="6"/>
        <v>normal</v>
      </c>
    </row>
    <row r="98" spans="1:19" ht="15.75" customHeight="1" x14ac:dyDescent="0.45">
      <c r="A98" s="4" t="s">
        <v>227</v>
      </c>
      <c r="B98" s="5">
        <v>45528</v>
      </c>
      <c r="C98" s="4" t="s">
        <v>228</v>
      </c>
      <c r="D98" s="4" t="s">
        <v>229</v>
      </c>
      <c r="E98" s="4" t="s">
        <v>116</v>
      </c>
      <c r="F98" s="4" t="s">
        <v>117</v>
      </c>
      <c r="G98" s="4" t="s">
        <v>35</v>
      </c>
      <c r="H98" s="4">
        <v>3</v>
      </c>
      <c r="I98" s="4">
        <v>79.989999999999995</v>
      </c>
      <c r="J98" s="4" t="s">
        <v>22</v>
      </c>
      <c r="K98" s="4" t="s">
        <v>23</v>
      </c>
      <c r="L98" s="4" t="s">
        <v>29</v>
      </c>
      <c r="M98" s="5">
        <v>44779</v>
      </c>
      <c r="N98" s="4">
        <v>239.97</v>
      </c>
      <c r="O98" s="9">
        <f t="shared" ca="1" si="7"/>
        <v>46106</v>
      </c>
      <c r="P98" s="10">
        <f t="shared" ca="1" si="8"/>
        <v>46106.913759606483</v>
      </c>
      <c r="Q98" s="11">
        <f t="shared" si="9"/>
        <v>24</v>
      </c>
      <c r="R98" s="11">
        <f t="shared" si="10"/>
        <v>31</v>
      </c>
      <c r="S98" s="13" t="str">
        <f t="shared" si="6"/>
        <v>normal</v>
      </c>
    </row>
    <row r="99" spans="1:19" ht="15.75" customHeight="1" x14ac:dyDescent="0.45">
      <c r="A99" s="4" t="s">
        <v>230</v>
      </c>
      <c r="B99" s="5">
        <v>45528</v>
      </c>
      <c r="C99" s="4" t="s">
        <v>146</v>
      </c>
      <c r="D99" s="4" t="s">
        <v>147</v>
      </c>
      <c r="E99" s="4" t="s">
        <v>19</v>
      </c>
      <c r="F99" s="4" t="s">
        <v>20</v>
      </c>
      <c r="G99" s="4" t="s">
        <v>21</v>
      </c>
      <c r="H99" s="4">
        <v>2</v>
      </c>
      <c r="I99" s="4">
        <v>249.99</v>
      </c>
      <c r="J99" s="4" t="s">
        <v>22</v>
      </c>
      <c r="K99" s="4" t="s">
        <v>37</v>
      </c>
      <c r="L99" s="4" t="s">
        <v>38</v>
      </c>
      <c r="M99" s="5">
        <v>44572</v>
      </c>
      <c r="N99" s="4">
        <v>499.98</v>
      </c>
      <c r="O99" s="9">
        <f t="shared" ca="1" si="7"/>
        <v>46106</v>
      </c>
      <c r="P99" s="10">
        <f t="shared" ca="1" si="8"/>
        <v>46106.913759606483</v>
      </c>
      <c r="Q99" s="11">
        <f t="shared" si="9"/>
        <v>31</v>
      </c>
      <c r="R99" s="11">
        <f t="shared" si="10"/>
        <v>31</v>
      </c>
      <c r="S99" s="13" t="str">
        <f t="shared" si="6"/>
        <v>normal</v>
      </c>
    </row>
    <row r="100" spans="1:19" ht="15.75" customHeight="1" x14ac:dyDescent="0.45">
      <c r="A100" s="4" t="s">
        <v>231</v>
      </c>
      <c r="B100" s="5">
        <v>45532</v>
      </c>
      <c r="C100" s="4" t="s">
        <v>198</v>
      </c>
      <c r="D100" s="4" t="s">
        <v>199</v>
      </c>
      <c r="E100" s="4" t="s">
        <v>82</v>
      </c>
      <c r="F100" s="4" t="s">
        <v>83</v>
      </c>
      <c r="G100" s="4" t="s">
        <v>21</v>
      </c>
      <c r="H100" s="4">
        <v>1</v>
      </c>
      <c r="I100" s="4">
        <v>699.99</v>
      </c>
      <c r="J100" s="4" t="s">
        <v>22</v>
      </c>
      <c r="K100" s="4" t="s">
        <v>23</v>
      </c>
      <c r="L100" s="4" t="s">
        <v>29</v>
      </c>
      <c r="M100" s="5">
        <v>44497</v>
      </c>
      <c r="N100" s="4">
        <v>699.99</v>
      </c>
      <c r="O100" s="9">
        <f t="shared" ca="1" si="7"/>
        <v>46106</v>
      </c>
      <c r="P100" s="10">
        <f t="shared" ca="1" si="8"/>
        <v>46106.913759606483</v>
      </c>
      <c r="Q100" s="11">
        <f t="shared" si="9"/>
        <v>34</v>
      </c>
      <c r="R100" s="11">
        <f t="shared" si="10"/>
        <v>31</v>
      </c>
      <c r="S100" s="13" t="str">
        <f t="shared" si="6"/>
        <v>normal</v>
      </c>
    </row>
    <row r="101" spans="1:19" ht="15.75" customHeight="1" x14ac:dyDescent="0.45">
      <c r="A101" s="4" t="s">
        <v>232</v>
      </c>
      <c r="B101" s="5">
        <v>45532</v>
      </c>
      <c r="C101" s="4" t="s">
        <v>233</v>
      </c>
      <c r="D101" s="4" t="s">
        <v>234</v>
      </c>
      <c r="E101" s="4" t="s">
        <v>54</v>
      </c>
      <c r="F101" s="4" t="s">
        <v>55</v>
      </c>
      <c r="G101" s="4" t="s">
        <v>21</v>
      </c>
      <c r="H101" s="4">
        <v>3</v>
      </c>
      <c r="I101" s="4">
        <v>149.99</v>
      </c>
      <c r="J101" s="4" t="s">
        <v>22</v>
      </c>
      <c r="K101" s="4" t="s">
        <v>52</v>
      </c>
      <c r="L101" s="4" t="s">
        <v>29</v>
      </c>
      <c r="M101" s="5">
        <v>45212</v>
      </c>
      <c r="N101" s="4">
        <v>449.97</v>
      </c>
      <c r="O101" s="9">
        <f t="shared" ca="1" si="7"/>
        <v>46106</v>
      </c>
      <c r="P101" s="10">
        <f t="shared" ca="1" si="8"/>
        <v>46106.913759606483</v>
      </c>
      <c r="Q101" s="11">
        <f t="shared" si="9"/>
        <v>10</v>
      </c>
      <c r="R101" s="11">
        <f t="shared" si="10"/>
        <v>31</v>
      </c>
      <c r="S101" s="13" t="str">
        <f t="shared" si="6"/>
        <v>normal</v>
      </c>
    </row>
    <row r="102" spans="1:19" ht="15.75" customHeight="1" x14ac:dyDescent="0.45">
      <c r="A102" s="4" t="s">
        <v>235</v>
      </c>
      <c r="B102" s="5">
        <v>45534</v>
      </c>
      <c r="C102" s="4" t="s">
        <v>236</v>
      </c>
      <c r="D102" s="4" t="s">
        <v>237</v>
      </c>
      <c r="E102" s="4" t="s">
        <v>82</v>
      </c>
      <c r="F102" s="4" t="s">
        <v>83</v>
      </c>
      <c r="G102" s="4" t="s">
        <v>21</v>
      </c>
      <c r="H102" s="4">
        <v>2</v>
      </c>
      <c r="I102" s="4">
        <v>699.99</v>
      </c>
      <c r="J102" s="4" t="s">
        <v>28</v>
      </c>
      <c r="K102" s="4" t="s">
        <v>42</v>
      </c>
      <c r="L102" s="4" t="s">
        <v>29</v>
      </c>
      <c r="M102" s="5">
        <v>44421</v>
      </c>
      <c r="N102" s="4">
        <v>1399.98</v>
      </c>
      <c r="O102" s="9">
        <f t="shared" ca="1" si="7"/>
        <v>46106</v>
      </c>
      <c r="P102" s="10">
        <f t="shared" ca="1" si="8"/>
        <v>46106.913759606483</v>
      </c>
      <c r="Q102" s="11">
        <f t="shared" si="9"/>
        <v>36</v>
      </c>
      <c r="R102" s="11">
        <f t="shared" si="10"/>
        <v>31</v>
      </c>
      <c r="S102" s="13" t="str">
        <f t="shared" si="6"/>
        <v>normal</v>
      </c>
    </row>
    <row r="103" spans="1:19" ht="15.75" customHeight="1" x14ac:dyDescent="0.45">
      <c r="A103" s="4" t="s">
        <v>238</v>
      </c>
      <c r="B103" s="5">
        <v>45537</v>
      </c>
      <c r="C103" s="4" t="s">
        <v>233</v>
      </c>
      <c r="D103" s="4" t="s">
        <v>234</v>
      </c>
      <c r="E103" s="4" t="s">
        <v>19</v>
      </c>
      <c r="F103" s="4" t="s">
        <v>20</v>
      </c>
      <c r="G103" s="4" t="s">
        <v>21</v>
      </c>
      <c r="H103" s="4">
        <v>1</v>
      </c>
      <c r="I103" s="4">
        <v>249.99</v>
      </c>
      <c r="J103" s="4" t="s">
        <v>28</v>
      </c>
      <c r="K103" s="4" t="s">
        <v>52</v>
      </c>
      <c r="L103" s="4" t="s">
        <v>29</v>
      </c>
      <c r="M103" s="5">
        <v>44685</v>
      </c>
      <c r="N103" s="4">
        <v>249.99</v>
      </c>
      <c r="O103" s="9">
        <f t="shared" ca="1" si="7"/>
        <v>46106</v>
      </c>
      <c r="P103" s="10">
        <f t="shared" ca="1" si="8"/>
        <v>46106.913759606483</v>
      </c>
      <c r="Q103" s="11">
        <f t="shared" si="9"/>
        <v>27</v>
      </c>
      <c r="R103" s="11">
        <f t="shared" si="10"/>
        <v>30</v>
      </c>
      <c r="S103" s="13" t="str">
        <f t="shared" si="6"/>
        <v>normal</v>
      </c>
    </row>
    <row r="104" spans="1:19" ht="15.75" customHeight="1" x14ac:dyDescent="0.45">
      <c r="A104" s="4" t="s">
        <v>239</v>
      </c>
      <c r="B104" s="5">
        <v>45537</v>
      </c>
      <c r="C104" s="4" t="s">
        <v>17</v>
      </c>
      <c r="D104" s="4" t="s">
        <v>18</v>
      </c>
      <c r="E104" s="4" t="s">
        <v>19</v>
      </c>
      <c r="F104" s="4" t="s">
        <v>20</v>
      </c>
      <c r="G104" s="4" t="s">
        <v>21</v>
      </c>
      <c r="H104" s="4">
        <v>1</v>
      </c>
      <c r="I104" s="4">
        <v>249.99</v>
      </c>
      <c r="J104" s="4" t="s">
        <v>59</v>
      </c>
      <c r="K104" s="4" t="s">
        <v>42</v>
      </c>
      <c r="L104" s="4" t="s">
        <v>29</v>
      </c>
      <c r="M104" s="5">
        <v>45332</v>
      </c>
      <c r="N104" s="4">
        <v>249.99</v>
      </c>
      <c r="O104" s="9">
        <f t="shared" ca="1" si="7"/>
        <v>46106</v>
      </c>
      <c r="P104" s="10">
        <f t="shared" ca="1" si="8"/>
        <v>46106.913759606483</v>
      </c>
      <c r="Q104" s="11">
        <f t="shared" si="9"/>
        <v>6</v>
      </c>
      <c r="R104" s="11">
        <f t="shared" si="10"/>
        <v>30</v>
      </c>
      <c r="S104" s="13" t="str">
        <f t="shared" si="6"/>
        <v>normal</v>
      </c>
    </row>
    <row r="105" spans="1:19" ht="15.75" customHeight="1" x14ac:dyDescent="0.45">
      <c r="A105" s="4" t="s">
        <v>240</v>
      </c>
      <c r="B105" s="5">
        <v>45538</v>
      </c>
      <c r="C105" s="4" t="s">
        <v>228</v>
      </c>
      <c r="D105" s="4" t="s">
        <v>229</v>
      </c>
      <c r="E105" s="4" t="s">
        <v>82</v>
      </c>
      <c r="F105" s="4" t="s">
        <v>83</v>
      </c>
      <c r="G105" s="4" t="s">
        <v>21</v>
      </c>
      <c r="H105" s="4">
        <v>2</v>
      </c>
      <c r="I105" s="4">
        <v>699.99</v>
      </c>
      <c r="J105" s="4" t="s">
        <v>59</v>
      </c>
      <c r="K105" s="4" t="s">
        <v>23</v>
      </c>
      <c r="L105" s="4" t="s">
        <v>29</v>
      </c>
      <c r="M105" s="5">
        <v>44870</v>
      </c>
      <c r="N105" s="4">
        <v>1399.98</v>
      </c>
      <c r="O105" s="9">
        <f t="shared" ca="1" si="7"/>
        <v>46106</v>
      </c>
      <c r="P105" s="10">
        <f t="shared" ca="1" si="8"/>
        <v>46106.913759606483</v>
      </c>
      <c r="Q105" s="11">
        <f t="shared" si="9"/>
        <v>21</v>
      </c>
      <c r="R105" s="11">
        <f t="shared" si="10"/>
        <v>30</v>
      </c>
      <c r="S105" s="13" t="str">
        <f t="shared" si="6"/>
        <v>normal</v>
      </c>
    </row>
    <row r="106" spans="1:19" ht="15.75" customHeight="1" x14ac:dyDescent="0.45">
      <c r="A106" s="4" t="s">
        <v>241</v>
      </c>
      <c r="B106" s="5">
        <v>45541</v>
      </c>
      <c r="C106" s="4" t="s">
        <v>140</v>
      </c>
      <c r="D106" s="4" t="s">
        <v>141</v>
      </c>
      <c r="E106" s="4" t="s">
        <v>33</v>
      </c>
      <c r="F106" s="4" t="s">
        <v>34</v>
      </c>
      <c r="G106" s="4" t="s">
        <v>35</v>
      </c>
      <c r="H106" s="4">
        <v>3</v>
      </c>
      <c r="I106" s="4">
        <v>59.99</v>
      </c>
      <c r="J106" s="4" t="s">
        <v>28</v>
      </c>
      <c r="K106" s="4" t="s">
        <v>23</v>
      </c>
      <c r="L106" s="4" t="s">
        <v>29</v>
      </c>
      <c r="M106" s="5">
        <v>44717</v>
      </c>
      <c r="N106" s="4">
        <v>179.97</v>
      </c>
      <c r="O106" s="9">
        <f t="shared" ca="1" si="7"/>
        <v>46106</v>
      </c>
      <c r="P106" s="10">
        <f t="shared" ca="1" si="8"/>
        <v>46106.913759606483</v>
      </c>
      <c r="Q106" s="11">
        <f t="shared" si="9"/>
        <v>27</v>
      </c>
      <c r="R106" s="11">
        <f t="shared" si="10"/>
        <v>30</v>
      </c>
      <c r="S106" s="13" t="str">
        <f t="shared" si="6"/>
        <v>normal</v>
      </c>
    </row>
    <row r="107" spans="1:19" ht="15.75" customHeight="1" x14ac:dyDescent="0.45">
      <c r="A107" s="4" t="s">
        <v>242</v>
      </c>
      <c r="B107" s="5">
        <v>45544</v>
      </c>
      <c r="C107" s="4" t="s">
        <v>134</v>
      </c>
      <c r="D107" s="4" t="s">
        <v>135</v>
      </c>
      <c r="E107" s="4" t="s">
        <v>33</v>
      </c>
      <c r="F107" s="4" t="s">
        <v>34</v>
      </c>
      <c r="G107" s="4" t="s">
        <v>35</v>
      </c>
      <c r="H107" s="4">
        <v>3</v>
      </c>
      <c r="I107" s="4">
        <v>59.99</v>
      </c>
      <c r="J107" s="4" t="s">
        <v>36</v>
      </c>
      <c r="K107" s="4" t="s">
        <v>65</v>
      </c>
      <c r="L107" s="4" t="s">
        <v>38</v>
      </c>
      <c r="M107" s="5">
        <v>44748</v>
      </c>
      <c r="N107" s="4">
        <v>179.97</v>
      </c>
      <c r="O107" s="9">
        <f t="shared" ca="1" si="7"/>
        <v>46106</v>
      </c>
      <c r="P107" s="10">
        <f t="shared" ca="1" si="8"/>
        <v>46106.913759606483</v>
      </c>
      <c r="Q107" s="11">
        <f t="shared" si="9"/>
        <v>26</v>
      </c>
      <c r="R107" s="11">
        <f t="shared" si="10"/>
        <v>30</v>
      </c>
      <c r="S107" s="13" t="str">
        <f t="shared" si="6"/>
        <v>normal</v>
      </c>
    </row>
    <row r="108" spans="1:19" ht="15.75" customHeight="1" x14ac:dyDescent="0.45">
      <c r="A108" s="4" t="s">
        <v>243</v>
      </c>
      <c r="B108" s="5">
        <v>45544</v>
      </c>
      <c r="C108" s="4" t="s">
        <v>143</v>
      </c>
      <c r="D108" s="4" t="s">
        <v>144</v>
      </c>
      <c r="E108" s="4" t="s">
        <v>116</v>
      </c>
      <c r="F108" s="4" t="s">
        <v>117</v>
      </c>
      <c r="G108" s="4" t="s">
        <v>35</v>
      </c>
      <c r="H108" s="4">
        <v>4</v>
      </c>
      <c r="I108" s="4">
        <v>79.989999999999995</v>
      </c>
      <c r="J108" s="4" t="s">
        <v>22</v>
      </c>
      <c r="K108" s="4" t="s">
        <v>42</v>
      </c>
      <c r="L108" s="4" t="s">
        <v>24</v>
      </c>
      <c r="M108" s="5">
        <v>44530</v>
      </c>
      <c r="N108" s="4">
        <v>319.95999999999998</v>
      </c>
      <c r="O108" s="9">
        <f t="shared" ca="1" si="7"/>
        <v>46106</v>
      </c>
      <c r="P108" s="10">
        <f t="shared" ca="1" si="8"/>
        <v>46106.913759606483</v>
      </c>
      <c r="Q108" s="11">
        <f t="shared" si="9"/>
        <v>33</v>
      </c>
      <c r="R108" s="11">
        <f t="shared" si="10"/>
        <v>30</v>
      </c>
      <c r="S108" s="13" t="str">
        <f t="shared" si="6"/>
        <v>normal</v>
      </c>
    </row>
    <row r="109" spans="1:19" ht="15.75" customHeight="1" x14ac:dyDescent="0.45">
      <c r="A109" s="4" t="s">
        <v>244</v>
      </c>
      <c r="B109" s="5">
        <v>45545</v>
      </c>
      <c r="C109" s="4" t="s">
        <v>57</v>
      </c>
      <c r="D109" s="4" t="s">
        <v>58</v>
      </c>
      <c r="E109" s="4" t="s">
        <v>116</v>
      </c>
      <c r="F109" s="4" t="s">
        <v>117</v>
      </c>
      <c r="G109" s="4" t="s">
        <v>35</v>
      </c>
      <c r="H109" s="4">
        <v>1</v>
      </c>
      <c r="I109" s="4">
        <v>79.989999999999995</v>
      </c>
      <c r="J109" s="4" t="s">
        <v>22</v>
      </c>
      <c r="K109" s="4" t="s">
        <v>52</v>
      </c>
      <c r="L109" s="4" t="s">
        <v>24</v>
      </c>
      <c r="M109" s="5">
        <v>44693</v>
      </c>
      <c r="N109" s="4">
        <v>79.989999999999995</v>
      </c>
      <c r="O109" s="9">
        <f t="shared" ca="1" si="7"/>
        <v>46106</v>
      </c>
      <c r="P109" s="10">
        <f t="shared" ca="1" si="8"/>
        <v>46106.913759606483</v>
      </c>
      <c r="Q109" s="11">
        <f t="shared" si="9"/>
        <v>27</v>
      </c>
      <c r="R109" s="11">
        <f t="shared" si="10"/>
        <v>30</v>
      </c>
      <c r="S109" s="13" t="str">
        <f t="shared" si="6"/>
        <v>normal</v>
      </c>
    </row>
    <row r="110" spans="1:19" ht="15.75" customHeight="1" x14ac:dyDescent="0.45">
      <c r="A110" s="4" t="s">
        <v>245</v>
      </c>
      <c r="B110" s="5">
        <v>45547</v>
      </c>
      <c r="C110" s="4" t="s">
        <v>50</v>
      </c>
      <c r="D110" s="4" t="s">
        <v>51</v>
      </c>
      <c r="E110" s="4" t="s">
        <v>107</v>
      </c>
      <c r="F110" s="4" t="s">
        <v>108</v>
      </c>
      <c r="G110" s="4" t="s">
        <v>48</v>
      </c>
      <c r="H110" s="4">
        <v>3</v>
      </c>
      <c r="I110" s="4">
        <v>299.99</v>
      </c>
      <c r="J110" s="4" t="s">
        <v>28</v>
      </c>
      <c r="K110" s="4" t="s">
        <v>23</v>
      </c>
      <c r="L110" s="4" t="s">
        <v>29</v>
      </c>
      <c r="M110" s="5">
        <v>44494</v>
      </c>
      <c r="N110" s="4">
        <v>899.97</v>
      </c>
      <c r="O110" s="9">
        <f t="shared" ca="1" si="7"/>
        <v>46106</v>
      </c>
      <c r="P110" s="10">
        <f t="shared" ca="1" si="8"/>
        <v>46106.913759606483</v>
      </c>
      <c r="Q110" s="11">
        <f t="shared" si="9"/>
        <v>34</v>
      </c>
      <c r="R110" s="11">
        <f t="shared" si="10"/>
        <v>30</v>
      </c>
      <c r="S110" s="13" t="str">
        <f t="shared" si="6"/>
        <v>normal</v>
      </c>
    </row>
    <row r="111" spans="1:19" ht="15.75" customHeight="1" x14ac:dyDescent="0.45">
      <c r="A111" s="4" t="s">
        <v>246</v>
      </c>
      <c r="B111" s="5">
        <v>45548</v>
      </c>
      <c r="C111" s="4" t="s">
        <v>40</v>
      </c>
      <c r="D111" s="4" t="s">
        <v>41</v>
      </c>
      <c r="E111" s="4" t="s">
        <v>119</v>
      </c>
      <c r="F111" s="4" t="s">
        <v>120</v>
      </c>
      <c r="G111" s="4" t="s">
        <v>21</v>
      </c>
      <c r="H111" s="4">
        <v>2</v>
      </c>
      <c r="I111" s="4">
        <v>89.99</v>
      </c>
      <c r="J111" s="4" t="s">
        <v>28</v>
      </c>
      <c r="K111" s="4" t="s">
        <v>37</v>
      </c>
      <c r="L111" s="4" t="s">
        <v>29</v>
      </c>
      <c r="M111" s="5">
        <v>44641</v>
      </c>
      <c r="N111" s="4">
        <v>179.98</v>
      </c>
      <c r="O111" s="9">
        <f t="shared" ca="1" si="7"/>
        <v>46106</v>
      </c>
      <c r="P111" s="10">
        <f t="shared" ca="1" si="8"/>
        <v>46106.913759606483</v>
      </c>
      <c r="Q111" s="11">
        <f t="shared" si="9"/>
        <v>29</v>
      </c>
      <c r="R111" s="11">
        <f t="shared" si="10"/>
        <v>30</v>
      </c>
      <c r="S111" s="13" t="str">
        <f t="shared" si="6"/>
        <v>normal</v>
      </c>
    </row>
    <row r="112" spans="1:19" ht="15.75" customHeight="1" x14ac:dyDescent="0.45">
      <c r="A112" s="4" t="s">
        <v>247</v>
      </c>
      <c r="B112" s="5">
        <v>45550</v>
      </c>
      <c r="C112" s="4" t="s">
        <v>248</v>
      </c>
      <c r="D112" s="4" t="s">
        <v>249</v>
      </c>
      <c r="E112" s="4" t="s">
        <v>54</v>
      </c>
      <c r="F112" s="4" t="s">
        <v>55</v>
      </c>
      <c r="G112" s="4" t="s">
        <v>21</v>
      </c>
      <c r="H112" s="4">
        <v>4</v>
      </c>
      <c r="I112" s="4">
        <v>149.99</v>
      </c>
      <c r="J112" s="4" t="s">
        <v>22</v>
      </c>
      <c r="K112" s="4" t="s">
        <v>42</v>
      </c>
      <c r="L112" s="4" t="s">
        <v>24</v>
      </c>
      <c r="M112" s="5">
        <v>44909</v>
      </c>
      <c r="N112" s="4">
        <v>599.96</v>
      </c>
      <c r="O112" s="9">
        <f t="shared" ca="1" si="7"/>
        <v>46106</v>
      </c>
      <c r="P112" s="10">
        <f t="shared" ca="1" si="8"/>
        <v>46106.913759606483</v>
      </c>
      <c r="Q112" s="11">
        <f t="shared" si="9"/>
        <v>21</v>
      </c>
      <c r="R112" s="11">
        <f t="shared" si="10"/>
        <v>30</v>
      </c>
      <c r="S112" s="13" t="str">
        <f t="shared" si="6"/>
        <v>normal</v>
      </c>
    </row>
    <row r="113" spans="1:19" ht="15.75" customHeight="1" x14ac:dyDescent="0.45">
      <c r="A113" s="4" t="s">
        <v>250</v>
      </c>
      <c r="B113" s="5">
        <v>45551</v>
      </c>
      <c r="C113" s="4" t="s">
        <v>67</v>
      </c>
      <c r="D113" s="4" t="s">
        <v>68</v>
      </c>
      <c r="E113" s="4" t="s">
        <v>19</v>
      </c>
      <c r="F113" s="4" t="s">
        <v>20</v>
      </c>
      <c r="G113" s="4" t="s">
        <v>21</v>
      </c>
      <c r="H113" s="4">
        <v>2</v>
      </c>
      <c r="I113" s="4">
        <v>249.99</v>
      </c>
      <c r="J113" s="4" t="s">
        <v>36</v>
      </c>
      <c r="K113" s="4" t="s">
        <v>37</v>
      </c>
      <c r="L113" s="4" t="s">
        <v>24</v>
      </c>
      <c r="M113" s="5">
        <v>44993</v>
      </c>
      <c r="N113" s="4">
        <v>499.98</v>
      </c>
      <c r="O113" s="9">
        <f t="shared" ca="1" si="7"/>
        <v>46106</v>
      </c>
      <c r="P113" s="10">
        <f t="shared" ca="1" si="8"/>
        <v>46106.913759606483</v>
      </c>
      <c r="Q113" s="11">
        <f t="shared" si="9"/>
        <v>18</v>
      </c>
      <c r="R113" s="11">
        <f t="shared" si="10"/>
        <v>30</v>
      </c>
      <c r="S113" s="13" t="str">
        <f t="shared" si="6"/>
        <v>normal</v>
      </c>
    </row>
    <row r="114" spans="1:19" ht="15.75" customHeight="1" x14ac:dyDescent="0.45">
      <c r="A114" s="4" t="s">
        <v>251</v>
      </c>
      <c r="B114" s="5">
        <v>45551</v>
      </c>
      <c r="C114" s="4" t="s">
        <v>156</v>
      </c>
      <c r="D114" s="4" t="s">
        <v>157</v>
      </c>
      <c r="E114" s="4" t="s">
        <v>128</v>
      </c>
      <c r="F114" s="4" t="s">
        <v>129</v>
      </c>
      <c r="G114" s="4" t="s">
        <v>48</v>
      </c>
      <c r="H114" s="4">
        <v>4</v>
      </c>
      <c r="I114" s="4">
        <v>199.99</v>
      </c>
      <c r="J114" s="4" t="s">
        <v>59</v>
      </c>
      <c r="K114" s="4" t="s">
        <v>65</v>
      </c>
      <c r="L114" s="4" t="s">
        <v>24</v>
      </c>
      <c r="M114" s="5">
        <v>44458</v>
      </c>
      <c r="N114" s="4">
        <v>799.96</v>
      </c>
      <c r="O114" s="9">
        <f t="shared" ca="1" si="7"/>
        <v>46106</v>
      </c>
      <c r="P114" s="10">
        <f t="shared" ca="1" si="8"/>
        <v>46106.913759606483</v>
      </c>
      <c r="Q114" s="11">
        <f t="shared" si="9"/>
        <v>35</v>
      </c>
      <c r="R114" s="11">
        <f t="shared" si="10"/>
        <v>30</v>
      </c>
      <c r="S114" s="13" t="str">
        <f t="shared" si="6"/>
        <v>normal</v>
      </c>
    </row>
    <row r="115" spans="1:19" ht="15.75" customHeight="1" x14ac:dyDescent="0.45">
      <c r="A115" s="4" t="s">
        <v>252</v>
      </c>
      <c r="B115" s="5">
        <v>45554</v>
      </c>
      <c r="C115" s="4" t="s">
        <v>149</v>
      </c>
      <c r="D115" s="4" t="s">
        <v>150</v>
      </c>
      <c r="E115" s="4" t="s">
        <v>119</v>
      </c>
      <c r="F115" s="4" t="s">
        <v>120</v>
      </c>
      <c r="G115" s="4" t="s">
        <v>21</v>
      </c>
      <c r="H115" s="4">
        <v>5</v>
      </c>
      <c r="I115" s="4">
        <v>89.99</v>
      </c>
      <c r="J115" s="4" t="s">
        <v>28</v>
      </c>
      <c r="K115" s="4" t="s">
        <v>65</v>
      </c>
      <c r="L115" s="4" t="s">
        <v>29</v>
      </c>
      <c r="M115" s="5">
        <v>44446</v>
      </c>
      <c r="N115" s="4">
        <v>449.95</v>
      </c>
      <c r="O115" s="9">
        <f t="shared" ca="1" si="7"/>
        <v>46106</v>
      </c>
      <c r="P115" s="10">
        <f t="shared" ca="1" si="8"/>
        <v>46106.913759606483</v>
      </c>
      <c r="Q115" s="11">
        <f t="shared" si="9"/>
        <v>36</v>
      </c>
      <c r="R115" s="11">
        <f t="shared" si="10"/>
        <v>30</v>
      </c>
      <c r="S115" s="13" t="str">
        <f t="shared" si="6"/>
        <v>normal</v>
      </c>
    </row>
    <row r="116" spans="1:19" ht="15.75" customHeight="1" x14ac:dyDescent="0.45">
      <c r="A116" s="4" t="s">
        <v>253</v>
      </c>
      <c r="B116" s="5">
        <v>45554</v>
      </c>
      <c r="C116" s="4" t="s">
        <v>254</v>
      </c>
      <c r="D116" s="4" t="s">
        <v>255</v>
      </c>
      <c r="E116" s="4" t="s">
        <v>54</v>
      </c>
      <c r="F116" s="4" t="s">
        <v>55</v>
      </c>
      <c r="G116" s="4" t="s">
        <v>21</v>
      </c>
      <c r="H116" s="4">
        <v>1</v>
      </c>
      <c r="I116" s="4">
        <v>149.99</v>
      </c>
      <c r="J116" s="4" t="s">
        <v>36</v>
      </c>
      <c r="K116" s="4" t="s">
        <v>65</v>
      </c>
      <c r="L116" s="4" t="s">
        <v>38</v>
      </c>
      <c r="M116" s="5">
        <v>44482</v>
      </c>
      <c r="N116" s="4">
        <v>149.99</v>
      </c>
      <c r="O116" s="9">
        <f t="shared" ca="1" si="7"/>
        <v>46106</v>
      </c>
      <c r="P116" s="10">
        <f t="shared" ca="1" si="8"/>
        <v>46106.913759606483</v>
      </c>
      <c r="Q116" s="11">
        <f t="shared" si="9"/>
        <v>35</v>
      </c>
      <c r="R116" s="11">
        <f t="shared" si="10"/>
        <v>30</v>
      </c>
      <c r="S116" s="13" t="str">
        <f t="shared" si="6"/>
        <v>normal</v>
      </c>
    </row>
    <row r="117" spans="1:19" ht="15.75" customHeight="1" x14ac:dyDescent="0.45">
      <c r="A117" s="4" t="s">
        <v>256</v>
      </c>
      <c r="B117" s="5">
        <v>45554</v>
      </c>
      <c r="C117" s="4" t="s">
        <v>74</v>
      </c>
      <c r="D117" s="4" t="s">
        <v>75</v>
      </c>
      <c r="E117" s="4" t="s">
        <v>82</v>
      </c>
      <c r="F117" s="4" t="s">
        <v>83</v>
      </c>
      <c r="G117" s="4" t="s">
        <v>21</v>
      </c>
      <c r="H117" s="4">
        <v>4</v>
      </c>
      <c r="I117" s="4">
        <v>699.99</v>
      </c>
      <c r="J117" s="4" t="s">
        <v>36</v>
      </c>
      <c r="K117" s="4" t="s">
        <v>37</v>
      </c>
      <c r="L117" s="4" t="s">
        <v>24</v>
      </c>
      <c r="M117" s="5">
        <v>44618</v>
      </c>
      <c r="N117" s="4">
        <v>2799.96</v>
      </c>
      <c r="O117" s="9">
        <f t="shared" ca="1" si="7"/>
        <v>46106</v>
      </c>
      <c r="P117" s="10">
        <f t="shared" ca="1" si="8"/>
        <v>46106.913759606483</v>
      </c>
      <c r="Q117" s="11">
        <f t="shared" si="9"/>
        <v>30</v>
      </c>
      <c r="R117" s="11">
        <f t="shared" si="10"/>
        <v>30</v>
      </c>
      <c r="S117" s="13" t="str">
        <f t="shared" si="6"/>
        <v>high-value</v>
      </c>
    </row>
    <row r="118" spans="1:19" ht="15.75" customHeight="1" x14ac:dyDescent="0.45">
      <c r="A118" s="4" t="s">
        <v>257</v>
      </c>
      <c r="B118" s="5">
        <v>45559</v>
      </c>
      <c r="C118" s="4" t="s">
        <v>236</v>
      </c>
      <c r="D118" s="4" t="s">
        <v>237</v>
      </c>
      <c r="E118" s="4" t="s">
        <v>63</v>
      </c>
      <c r="F118" s="4" t="s">
        <v>64</v>
      </c>
      <c r="G118" s="4" t="s">
        <v>21</v>
      </c>
      <c r="H118" s="4">
        <v>3</v>
      </c>
      <c r="I118" s="4">
        <v>899.99</v>
      </c>
      <c r="J118" s="4" t="s">
        <v>28</v>
      </c>
      <c r="K118" s="4" t="s">
        <v>42</v>
      </c>
      <c r="L118" s="4" t="s">
        <v>38</v>
      </c>
      <c r="M118" s="5">
        <v>45157</v>
      </c>
      <c r="N118" s="4">
        <v>2699.97</v>
      </c>
      <c r="O118" s="9">
        <f t="shared" ca="1" si="7"/>
        <v>46106</v>
      </c>
      <c r="P118" s="10">
        <f t="shared" ca="1" si="8"/>
        <v>46106.913759606483</v>
      </c>
      <c r="Q118" s="11">
        <f t="shared" si="9"/>
        <v>13</v>
      </c>
      <c r="R118" s="11">
        <f t="shared" si="10"/>
        <v>30</v>
      </c>
      <c r="S118" s="13" t="str">
        <f t="shared" si="6"/>
        <v>high-value</v>
      </c>
    </row>
    <row r="119" spans="1:19" ht="15.75" customHeight="1" x14ac:dyDescent="0.45">
      <c r="A119" s="4" t="s">
        <v>258</v>
      </c>
      <c r="B119" s="5">
        <v>45560</v>
      </c>
      <c r="C119" s="4" t="s">
        <v>114</v>
      </c>
      <c r="D119" s="4" t="s">
        <v>115</v>
      </c>
      <c r="E119" s="4" t="s">
        <v>46</v>
      </c>
      <c r="F119" s="4" t="s">
        <v>47</v>
      </c>
      <c r="G119" s="4" t="s">
        <v>48</v>
      </c>
      <c r="H119" s="4">
        <v>3</v>
      </c>
      <c r="I119" s="4">
        <v>149.99</v>
      </c>
      <c r="J119" s="4" t="s">
        <v>36</v>
      </c>
      <c r="K119" s="4" t="s">
        <v>65</v>
      </c>
      <c r="L119" s="4" t="s">
        <v>24</v>
      </c>
      <c r="M119" s="5">
        <v>44886</v>
      </c>
      <c r="N119" s="4">
        <v>449.97</v>
      </c>
      <c r="O119" s="9">
        <f t="shared" ca="1" si="7"/>
        <v>46106</v>
      </c>
      <c r="P119" s="10">
        <f t="shared" ca="1" si="8"/>
        <v>46106.913759606483</v>
      </c>
      <c r="Q119" s="11">
        <f t="shared" si="9"/>
        <v>22</v>
      </c>
      <c r="R119" s="11">
        <f t="shared" si="10"/>
        <v>30</v>
      </c>
      <c r="S119" s="13" t="str">
        <f t="shared" si="6"/>
        <v>normal</v>
      </c>
    </row>
    <row r="120" spans="1:19" ht="15.75" customHeight="1" x14ac:dyDescent="0.45">
      <c r="A120" s="4" t="s">
        <v>259</v>
      </c>
      <c r="B120" s="5">
        <v>45563</v>
      </c>
      <c r="C120" s="4" t="s">
        <v>101</v>
      </c>
      <c r="D120" s="4" t="s">
        <v>102</v>
      </c>
      <c r="E120" s="4" t="s">
        <v>107</v>
      </c>
      <c r="F120" s="4" t="s">
        <v>108</v>
      </c>
      <c r="G120" s="4" t="s">
        <v>48</v>
      </c>
      <c r="H120" s="4">
        <v>2</v>
      </c>
      <c r="I120" s="4">
        <v>299.99</v>
      </c>
      <c r="J120" s="4" t="s">
        <v>59</v>
      </c>
      <c r="K120" s="4" t="s">
        <v>23</v>
      </c>
      <c r="L120" s="4" t="s">
        <v>24</v>
      </c>
      <c r="M120" s="5">
        <v>44569</v>
      </c>
      <c r="N120" s="4">
        <v>599.98</v>
      </c>
      <c r="O120" s="9">
        <f t="shared" ca="1" si="7"/>
        <v>46106</v>
      </c>
      <c r="P120" s="10">
        <f t="shared" ca="1" si="8"/>
        <v>46106.913759606483</v>
      </c>
      <c r="Q120" s="11">
        <f t="shared" si="9"/>
        <v>32</v>
      </c>
      <c r="R120" s="11">
        <f t="shared" si="10"/>
        <v>30</v>
      </c>
      <c r="S120" s="13" t="str">
        <f t="shared" si="6"/>
        <v>normal</v>
      </c>
    </row>
    <row r="121" spans="1:19" ht="15.75" customHeight="1" x14ac:dyDescent="0.45">
      <c r="A121" s="4" t="s">
        <v>260</v>
      </c>
      <c r="B121" s="5">
        <v>45564</v>
      </c>
      <c r="C121" s="4" t="s">
        <v>261</v>
      </c>
      <c r="D121" s="4" t="s">
        <v>262</v>
      </c>
      <c r="E121" s="4" t="s">
        <v>128</v>
      </c>
      <c r="F121" s="4" t="s">
        <v>129</v>
      </c>
      <c r="G121" s="4" t="s">
        <v>48</v>
      </c>
      <c r="H121" s="4">
        <v>1</v>
      </c>
      <c r="I121" s="4">
        <v>199.99</v>
      </c>
      <c r="J121" s="4" t="s">
        <v>59</v>
      </c>
      <c r="K121" s="4" t="s">
        <v>65</v>
      </c>
      <c r="L121" s="4" t="s">
        <v>38</v>
      </c>
      <c r="M121" s="5">
        <v>44953</v>
      </c>
      <c r="N121" s="4">
        <v>199.99</v>
      </c>
      <c r="O121" s="9">
        <f t="shared" ca="1" si="7"/>
        <v>46106</v>
      </c>
      <c r="P121" s="10">
        <f t="shared" ca="1" si="8"/>
        <v>46106.913759606483</v>
      </c>
      <c r="Q121" s="11">
        <f t="shared" si="9"/>
        <v>20</v>
      </c>
      <c r="R121" s="11">
        <f t="shared" si="10"/>
        <v>30</v>
      </c>
      <c r="S121" s="13" t="str">
        <f t="shared" si="6"/>
        <v>normal</v>
      </c>
    </row>
    <row r="122" spans="1:19" ht="15.75" customHeight="1" x14ac:dyDescent="0.45">
      <c r="A122" s="4" t="s">
        <v>263</v>
      </c>
      <c r="B122" s="5">
        <v>45566</v>
      </c>
      <c r="C122" s="4" t="s">
        <v>44</v>
      </c>
      <c r="D122" s="4" t="s">
        <v>45</v>
      </c>
      <c r="E122" s="4" t="s">
        <v>107</v>
      </c>
      <c r="F122" s="4" t="s">
        <v>108</v>
      </c>
      <c r="G122" s="4" t="s">
        <v>48</v>
      </c>
      <c r="H122" s="4">
        <v>4</v>
      </c>
      <c r="I122" s="4">
        <v>299.99</v>
      </c>
      <c r="J122" s="4" t="s">
        <v>22</v>
      </c>
      <c r="K122" s="4" t="s">
        <v>23</v>
      </c>
      <c r="L122" s="4" t="s">
        <v>29</v>
      </c>
      <c r="M122" s="5">
        <v>44460</v>
      </c>
      <c r="N122" s="4">
        <v>1199.96</v>
      </c>
      <c r="O122" s="9">
        <f t="shared" ca="1" si="7"/>
        <v>46106</v>
      </c>
      <c r="P122" s="10">
        <f t="shared" ca="1" si="8"/>
        <v>46106.913759606483</v>
      </c>
      <c r="Q122" s="11">
        <f t="shared" si="9"/>
        <v>36</v>
      </c>
      <c r="R122" s="11">
        <f t="shared" si="10"/>
        <v>31</v>
      </c>
      <c r="S122" s="13" t="str">
        <f t="shared" si="6"/>
        <v>normal</v>
      </c>
    </row>
    <row r="123" spans="1:19" ht="15.75" customHeight="1" x14ac:dyDescent="0.45">
      <c r="A123" s="4" t="s">
        <v>264</v>
      </c>
      <c r="B123" s="5">
        <v>45572</v>
      </c>
      <c r="C123" s="4" t="s">
        <v>91</v>
      </c>
      <c r="D123" s="4" t="s">
        <v>92</v>
      </c>
      <c r="E123" s="4" t="s">
        <v>33</v>
      </c>
      <c r="F123" s="4" t="s">
        <v>34</v>
      </c>
      <c r="G123" s="4" t="s">
        <v>35</v>
      </c>
      <c r="H123" s="4">
        <v>2</v>
      </c>
      <c r="I123" s="4">
        <v>59.99</v>
      </c>
      <c r="J123" s="4" t="s">
        <v>28</v>
      </c>
      <c r="K123" s="4" t="s">
        <v>23</v>
      </c>
      <c r="L123" s="4" t="s">
        <v>24</v>
      </c>
      <c r="M123" s="5">
        <v>44579</v>
      </c>
      <c r="N123" s="4">
        <v>119.98</v>
      </c>
      <c r="O123" s="9">
        <f t="shared" ca="1" si="7"/>
        <v>46106</v>
      </c>
      <c r="P123" s="10">
        <f t="shared" ca="1" si="8"/>
        <v>46106.913759606483</v>
      </c>
      <c r="Q123" s="11">
        <f t="shared" si="9"/>
        <v>32</v>
      </c>
      <c r="R123" s="11">
        <f t="shared" si="10"/>
        <v>31</v>
      </c>
      <c r="S123" s="13" t="str">
        <f t="shared" si="6"/>
        <v>normal</v>
      </c>
    </row>
    <row r="124" spans="1:19" ht="15.75" customHeight="1" x14ac:dyDescent="0.45">
      <c r="A124" s="4" t="s">
        <v>265</v>
      </c>
      <c r="B124" s="5">
        <v>45572</v>
      </c>
      <c r="C124" s="4" t="s">
        <v>236</v>
      </c>
      <c r="D124" s="4" t="s">
        <v>237</v>
      </c>
      <c r="E124" s="4" t="s">
        <v>54</v>
      </c>
      <c r="F124" s="4" t="s">
        <v>55</v>
      </c>
      <c r="G124" s="4" t="s">
        <v>21</v>
      </c>
      <c r="H124" s="4">
        <v>4</v>
      </c>
      <c r="I124" s="4">
        <v>149.99</v>
      </c>
      <c r="J124" s="4" t="s">
        <v>28</v>
      </c>
      <c r="K124" s="4" t="s">
        <v>42</v>
      </c>
      <c r="L124" s="4" t="s">
        <v>29</v>
      </c>
      <c r="M124" s="5">
        <v>45076</v>
      </c>
      <c r="N124" s="4">
        <v>599.96</v>
      </c>
      <c r="O124" s="9">
        <f t="shared" ca="1" si="7"/>
        <v>46106</v>
      </c>
      <c r="P124" s="10">
        <f t="shared" ca="1" si="8"/>
        <v>46106.913759606483</v>
      </c>
      <c r="Q124" s="11">
        <f t="shared" si="9"/>
        <v>16</v>
      </c>
      <c r="R124" s="11">
        <f t="shared" si="10"/>
        <v>31</v>
      </c>
      <c r="S124" s="13" t="str">
        <f t="shared" si="6"/>
        <v>normal</v>
      </c>
    </row>
    <row r="125" spans="1:19" ht="15.75" customHeight="1" x14ac:dyDescent="0.45">
      <c r="A125" s="4" t="s">
        <v>266</v>
      </c>
      <c r="B125" s="5">
        <v>45573</v>
      </c>
      <c r="C125" s="4" t="s">
        <v>213</v>
      </c>
      <c r="D125" s="4" t="s">
        <v>214</v>
      </c>
      <c r="E125" s="4" t="s">
        <v>82</v>
      </c>
      <c r="F125" s="4" t="s">
        <v>83</v>
      </c>
      <c r="G125" s="4" t="s">
        <v>21</v>
      </c>
      <c r="H125" s="4">
        <v>2</v>
      </c>
      <c r="I125" s="4">
        <v>699.99</v>
      </c>
      <c r="J125" s="4" t="s">
        <v>59</v>
      </c>
      <c r="K125" s="4" t="s">
        <v>65</v>
      </c>
      <c r="L125" s="4" t="s">
        <v>29</v>
      </c>
      <c r="M125" s="5">
        <v>45274</v>
      </c>
      <c r="N125" s="4">
        <v>1399.98</v>
      </c>
      <c r="O125" s="9">
        <f t="shared" ca="1" si="7"/>
        <v>46106</v>
      </c>
      <c r="P125" s="10">
        <f t="shared" ca="1" si="8"/>
        <v>46106.913759606483</v>
      </c>
      <c r="Q125" s="11">
        <f t="shared" si="9"/>
        <v>9</v>
      </c>
      <c r="R125" s="11">
        <f t="shared" si="10"/>
        <v>31</v>
      </c>
      <c r="S125" s="13" t="str">
        <f t="shared" si="6"/>
        <v>normal</v>
      </c>
    </row>
    <row r="126" spans="1:19" ht="15.75" customHeight="1" x14ac:dyDescent="0.45">
      <c r="A126" s="4" t="s">
        <v>267</v>
      </c>
      <c r="B126" s="5">
        <v>45573</v>
      </c>
      <c r="C126" s="4" t="s">
        <v>233</v>
      </c>
      <c r="D126" s="4" t="s">
        <v>234</v>
      </c>
      <c r="E126" s="4" t="s">
        <v>46</v>
      </c>
      <c r="F126" s="4" t="s">
        <v>47</v>
      </c>
      <c r="G126" s="4" t="s">
        <v>48</v>
      </c>
      <c r="H126" s="4">
        <v>3</v>
      </c>
      <c r="I126" s="4">
        <v>149.99</v>
      </c>
      <c r="J126" s="4" t="s">
        <v>28</v>
      </c>
      <c r="K126" s="4" t="s">
        <v>37</v>
      </c>
      <c r="L126" s="4" t="s">
        <v>38</v>
      </c>
      <c r="M126" s="5">
        <v>44940</v>
      </c>
      <c r="N126" s="4">
        <v>449.97</v>
      </c>
      <c r="O126" s="9">
        <f t="shared" ca="1" si="7"/>
        <v>46106</v>
      </c>
      <c r="P126" s="10">
        <f t="shared" ca="1" si="8"/>
        <v>46106.913759606483</v>
      </c>
      <c r="Q126" s="11">
        <f t="shared" si="9"/>
        <v>20</v>
      </c>
      <c r="R126" s="11">
        <f t="shared" si="10"/>
        <v>31</v>
      </c>
      <c r="S126" s="13" t="str">
        <f t="shared" si="6"/>
        <v>normal</v>
      </c>
    </row>
    <row r="127" spans="1:19" ht="15.75" customHeight="1" x14ac:dyDescent="0.45">
      <c r="A127" s="4" t="s">
        <v>268</v>
      </c>
      <c r="B127" s="5">
        <v>45576</v>
      </c>
      <c r="C127" s="4" t="s">
        <v>149</v>
      </c>
      <c r="D127" s="4" t="s">
        <v>150</v>
      </c>
      <c r="E127" s="4" t="s">
        <v>107</v>
      </c>
      <c r="F127" s="4" t="s">
        <v>108</v>
      </c>
      <c r="G127" s="4" t="s">
        <v>48</v>
      </c>
      <c r="H127" s="4">
        <v>3</v>
      </c>
      <c r="I127" s="4">
        <v>299.99</v>
      </c>
      <c r="J127" s="4" t="s">
        <v>28</v>
      </c>
      <c r="K127" s="4" t="s">
        <v>23</v>
      </c>
      <c r="L127" s="4" t="s">
        <v>38</v>
      </c>
      <c r="M127" s="5">
        <v>45174</v>
      </c>
      <c r="N127" s="4">
        <v>899.97</v>
      </c>
      <c r="O127" s="9">
        <f t="shared" ca="1" si="7"/>
        <v>46106</v>
      </c>
      <c r="P127" s="10">
        <f t="shared" ca="1" si="8"/>
        <v>46106.913759606483</v>
      </c>
      <c r="Q127" s="11">
        <f t="shared" si="9"/>
        <v>13</v>
      </c>
      <c r="R127" s="11">
        <f t="shared" si="10"/>
        <v>31</v>
      </c>
      <c r="S127" s="13" t="str">
        <f t="shared" si="6"/>
        <v>normal</v>
      </c>
    </row>
    <row r="128" spans="1:19" ht="15.75" customHeight="1" x14ac:dyDescent="0.45">
      <c r="A128" s="4" t="s">
        <v>269</v>
      </c>
      <c r="B128" s="5">
        <v>45579</v>
      </c>
      <c r="C128" s="4" t="s">
        <v>85</v>
      </c>
      <c r="D128" s="4" t="s">
        <v>86</v>
      </c>
      <c r="E128" s="4" t="s">
        <v>63</v>
      </c>
      <c r="F128" s="4" t="s">
        <v>64</v>
      </c>
      <c r="G128" s="4" t="s">
        <v>21</v>
      </c>
      <c r="H128" s="4">
        <v>3</v>
      </c>
      <c r="I128" s="4">
        <v>899.99</v>
      </c>
      <c r="J128" s="4" t="s">
        <v>36</v>
      </c>
      <c r="K128" s="4" t="s">
        <v>52</v>
      </c>
      <c r="L128" s="4" t="s">
        <v>24</v>
      </c>
      <c r="M128" s="5">
        <v>45215</v>
      </c>
      <c r="N128" s="4">
        <v>2699.97</v>
      </c>
      <c r="O128" s="9">
        <f t="shared" ca="1" si="7"/>
        <v>46106</v>
      </c>
      <c r="P128" s="10">
        <f t="shared" ca="1" si="8"/>
        <v>46106.913759606483</v>
      </c>
      <c r="Q128" s="11">
        <f t="shared" si="9"/>
        <v>11</v>
      </c>
      <c r="R128" s="11">
        <f t="shared" si="10"/>
        <v>31</v>
      </c>
      <c r="S128" s="13" t="str">
        <f t="shared" si="6"/>
        <v>high-value</v>
      </c>
    </row>
    <row r="129" spans="1:19" ht="15.75" customHeight="1" x14ac:dyDescent="0.45">
      <c r="A129" s="4" t="s">
        <v>270</v>
      </c>
      <c r="B129" s="5">
        <v>45581</v>
      </c>
      <c r="C129" s="4" t="s">
        <v>98</v>
      </c>
      <c r="D129" s="4" t="s">
        <v>99</v>
      </c>
      <c r="E129" s="4" t="s">
        <v>82</v>
      </c>
      <c r="F129" s="4" t="s">
        <v>83</v>
      </c>
      <c r="G129" s="4" t="s">
        <v>21</v>
      </c>
      <c r="H129" s="4">
        <v>5</v>
      </c>
      <c r="I129" s="4">
        <v>699.99</v>
      </c>
      <c r="J129" s="4" t="s">
        <v>22</v>
      </c>
      <c r="K129" s="4" t="s">
        <v>65</v>
      </c>
      <c r="L129" s="4" t="s">
        <v>38</v>
      </c>
      <c r="M129" s="5">
        <v>45008</v>
      </c>
      <c r="N129" s="4">
        <v>3499.95</v>
      </c>
      <c r="O129" s="9">
        <f t="shared" ca="1" si="7"/>
        <v>46106</v>
      </c>
      <c r="P129" s="10">
        <f t="shared" ca="1" si="8"/>
        <v>46106.913759606483</v>
      </c>
      <c r="Q129" s="11">
        <f t="shared" si="9"/>
        <v>18</v>
      </c>
      <c r="R129" s="11">
        <f t="shared" si="10"/>
        <v>31</v>
      </c>
      <c r="S129" s="13" t="str">
        <f t="shared" si="6"/>
        <v>high-value</v>
      </c>
    </row>
    <row r="130" spans="1:19" ht="15.75" customHeight="1" x14ac:dyDescent="0.45">
      <c r="A130" s="4" t="s">
        <v>271</v>
      </c>
      <c r="B130" s="5">
        <v>45581</v>
      </c>
      <c r="C130" s="4" t="s">
        <v>173</v>
      </c>
      <c r="D130" s="4" t="s">
        <v>174</v>
      </c>
      <c r="E130" s="4" t="s">
        <v>82</v>
      </c>
      <c r="F130" s="4" t="s">
        <v>83</v>
      </c>
      <c r="G130" s="4" t="s">
        <v>21</v>
      </c>
      <c r="H130" s="4">
        <v>4</v>
      </c>
      <c r="I130" s="4">
        <v>699.99</v>
      </c>
      <c r="J130" s="4" t="s">
        <v>28</v>
      </c>
      <c r="K130" s="4" t="s">
        <v>23</v>
      </c>
      <c r="L130" s="4" t="s">
        <v>24</v>
      </c>
      <c r="M130" s="5">
        <v>45385</v>
      </c>
      <c r="N130" s="4">
        <v>2799.96</v>
      </c>
      <c r="O130" s="9">
        <f t="shared" ca="1" si="7"/>
        <v>46106</v>
      </c>
      <c r="P130" s="10">
        <f t="shared" ca="1" si="8"/>
        <v>46106.913759606483</v>
      </c>
      <c r="Q130" s="11">
        <f t="shared" si="9"/>
        <v>6</v>
      </c>
      <c r="R130" s="11">
        <f t="shared" si="10"/>
        <v>31</v>
      </c>
      <c r="S130" s="13" t="str">
        <f t="shared" ref="S130:S193" si="11">IF(N130&gt;2000,"high-value","normal")</f>
        <v>high-value</v>
      </c>
    </row>
    <row r="131" spans="1:19" ht="15.75" customHeight="1" x14ac:dyDescent="0.45">
      <c r="A131" s="4" t="s">
        <v>272</v>
      </c>
      <c r="B131" s="5">
        <v>45581</v>
      </c>
      <c r="C131" s="4" t="s">
        <v>152</v>
      </c>
      <c r="D131" s="4" t="s">
        <v>153</v>
      </c>
      <c r="E131" s="4" t="s">
        <v>63</v>
      </c>
      <c r="F131" s="4" t="s">
        <v>64</v>
      </c>
      <c r="G131" s="4" t="s">
        <v>21</v>
      </c>
      <c r="H131" s="4">
        <v>1</v>
      </c>
      <c r="I131" s="4">
        <v>899.99</v>
      </c>
      <c r="J131" s="4" t="s">
        <v>28</v>
      </c>
      <c r="K131" s="4" t="s">
        <v>65</v>
      </c>
      <c r="L131" s="4" t="s">
        <v>38</v>
      </c>
      <c r="M131" s="5">
        <v>45369</v>
      </c>
      <c r="N131" s="4">
        <v>899.99</v>
      </c>
      <c r="O131" s="9">
        <f t="shared" ref="O131:O194" ca="1" si="12">TODAY()</f>
        <v>46106</v>
      </c>
      <c r="P131" s="10">
        <f t="shared" ref="P131:P194" ca="1" si="13">NOW()</f>
        <v>46106.913759606483</v>
      </c>
      <c r="Q131" s="11">
        <f t="shared" ref="Q131:Q194" si="14">DATEDIF(M131,B131,"M")</f>
        <v>6</v>
      </c>
      <c r="R131" s="11">
        <f t="shared" ref="R131:R194" si="15">DAY(EOMONTH(B131,0))</f>
        <v>31</v>
      </c>
      <c r="S131" s="13" t="str">
        <f t="shared" si="11"/>
        <v>normal</v>
      </c>
    </row>
    <row r="132" spans="1:19" ht="15.75" customHeight="1" x14ac:dyDescent="0.45">
      <c r="A132" s="4" t="s">
        <v>273</v>
      </c>
      <c r="B132" s="5">
        <v>45583</v>
      </c>
      <c r="C132" s="4" t="s">
        <v>228</v>
      </c>
      <c r="D132" s="4" t="s">
        <v>229</v>
      </c>
      <c r="E132" s="4" t="s">
        <v>54</v>
      </c>
      <c r="F132" s="4" t="s">
        <v>55</v>
      </c>
      <c r="G132" s="4" t="s">
        <v>21</v>
      </c>
      <c r="H132" s="4">
        <v>2</v>
      </c>
      <c r="I132" s="4">
        <v>149.99</v>
      </c>
      <c r="J132" s="4" t="s">
        <v>28</v>
      </c>
      <c r="K132" s="4" t="s">
        <v>52</v>
      </c>
      <c r="L132" s="4" t="s">
        <v>24</v>
      </c>
      <c r="M132" s="5">
        <v>44916</v>
      </c>
      <c r="N132" s="4">
        <v>299.98</v>
      </c>
      <c r="O132" s="9">
        <f t="shared" ca="1" si="12"/>
        <v>46106</v>
      </c>
      <c r="P132" s="10">
        <f t="shared" ca="1" si="13"/>
        <v>46106.913759606483</v>
      </c>
      <c r="Q132" s="11">
        <f t="shared" si="14"/>
        <v>21</v>
      </c>
      <c r="R132" s="11">
        <f t="shared" si="15"/>
        <v>31</v>
      </c>
      <c r="S132" s="13" t="str">
        <f t="shared" si="11"/>
        <v>normal</v>
      </c>
    </row>
    <row r="133" spans="1:19" ht="15.75" customHeight="1" x14ac:dyDescent="0.45">
      <c r="A133" s="4" t="s">
        <v>274</v>
      </c>
      <c r="B133" s="5">
        <v>45586</v>
      </c>
      <c r="C133" s="4" t="s">
        <v>228</v>
      </c>
      <c r="D133" s="4" t="s">
        <v>229</v>
      </c>
      <c r="E133" s="4" t="s">
        <v>119</v>
      </c>
      <c r="F133" s="4" t="s">
        <v>120</v>
      </c>
      <c r="G133" s="4" t="s">
        <v>21</v>
      </c>
      <c r="H133" s="4">
        <v>3</v>
      </c>
      <c r="I133" s="4">
        <v>89.99</v>
      </c>
      <c r="J133" s="4" t="s">
        <v>36</v>
      </c>
      <c r="K133" s="4" t="s">
        <v>23</v>
      </c>
      <c r="L133" s="4" t="s">
        <v>24</v>
      </c>
      <c r="M133" s="5">
        <v>44551</v>
      </c>
      <c r="N133" s="4">
        <v>269.97000000000003</v>
      </c>
      <c r="O133" s="9">
        <f t="shared" ca="1" si="12"/>
        <v>46106</v>
      </c>
      <c r="P133" s="10">
        <f t="shared" ca="1" si="13"/>
        <v>46106.913759606483</v>
      </c>
      <c r="Q133" s="11">
        <f t="shared" si="14"/>
        <v>34</v>
      </c>
      <c r="R133" s="11">
        <f t="shared" si="15"/>
        <v>31</v>
      </c>
      <c r="S133" s="13" t="str">
        <f t="shared" si="11"/>
        <v>normal</v>
      </c>
    </row>
    <row r="134" spans="1:19" ht="15.75" customHeight="1" x14ac:dyDescent="0.45">
      <c r="A134" s="4" t="s">
        <v>275</v>
      </c>
      <c r="B134" s="5">
        <v>45588</v>
      </c>
      <c r="C134" s="4" t="s">
        <v>40</v>
      </c>
      <c r="D134" s="4" t="s">
        <v>41</v>
      </c>
      <c r="E134" s="4" t="s">
        <v>54</v>
      </c>
      <c r="F134" s="4" t="s">
        <v>55</v>
      </c>
      <c r="G134" s="4" t="s">
        <v>21</v>
      </c>
      <c r="H134" s="4">
        <v>2</v>
      </c>
      <c r="I134" s="4">
        <v>149.99</v>
      </c>
      <c r="J134" s="4" t="s">
        <v>36</v>
      </c>
      <c r="K134" s="4" t="s">
        <v>23</v>
      </c>
      <c r="L134" s="4" t="s">
        <v>24</v>
      </c>
      <c r="M134" s="5">
        <v>44473</v>
      </c>
      <c r="N134" s="4">
        <v>299.98</v>
      </c>
      <c r="O134" s="9">
        <f t="shared" ca="1" si="12"/>
        <v>46106</v>
      </c>
      <c r="P134" s="10">
        <f t="shared" ca="1" si="13"/>
        <v>46106.913759606483</v>
      </c>
      <c r="Q134" s="11">
        <f t="shared" si="14"/>
        <v>36</v>
      </c>
      <c r="R134" s="11">
        <f t="shared" si="15"/>
        <v>31</v>
      </c>
      <c r="S134" s="13" t="str">
        <f t="shared" si="11"/>
        <v>normal</v>
      </c>
    </row>
    <row r="135" spans="1:19" ht="15.75" customHeight="1" x14ac:dyDescent="0.45">
      <c r="A135" s="4" t="s">
        <v>276</v>
      </c>
      <c r="B135" s="5">
        <v>45588</v>
      </c>
      <c r="C135" s="4" t="s">
        <v>156</v>
      </c>
      <c r="D135" s="4" t="s">
        <v>157</v>
      </c>
      <c r="E135" s="4" t="s">
        <v>82</v>
      </c>
      <c r="F135" s="4" t="s">
        <v>83</v>
      </c>
      <c r="G135" s="4" t="s">
        <v>21</v>
      </c>
      <c r="H135" s="4">
        <v>2</v>
      </c>
      <c r="I135" s="4">
        <v>699.99</v>
      </c>
      <c r="J135" s="4" t="s">
        <v>22</v>
      </c>
      <c r="K135" s="4" t="s">
        <v>23</v>
      </c>
      <c r="L135" s="4" t="s">
        <v>24</v>
      </c>
      <c r="M135" s="5">
        <v>44992</v>
      </c>
      <c r="N135" s="4">
        <v>1399.98</v>
      </c>
      <c r="O135" s="9">
        <f t="shared" ca="1" si="12"/>
        <v>46106</v>
      </c>
      <c r="P135" s="10">
        <f t="shared" ca="1" si="13"/>
        <v>46106.913759606483</v>
      </c>
      <c r="Q135" s="11">
        <f t="shared" si="14"/>
        <v>19</v>
      </c>
      <c r="R135" s="11">
        <f t="shared" si="15"/>
        <v>31</v>
      </c>
      <c r="S135" s="13" t="str">
        <f t="shared" si="11"/>
        <v>normal</v>
      </c>
    </row>
    <row r="136" spans="1:19" ht="15.75" customHeight="1" x14ac:dyDescent="0.45">
      <c r="A136" s="4" t="s">
        <v>277</v>
      </c>
      <c r="B136" s="5">
        <v>45589</v>
      </c>
      <c r="C136" s="4" t="s">
        <v>160</v>
      </c>
      <c r="D136" s="4" t="s">
        <v>161</v>
      </c>
      <c r="E136" s="4" t="s">
        <v>82</v>
      </c>
      <c r="F136" s="4" t="s">
        <v>83</v>
      </c>
      <c r="G136" s="4" t="s">
        <v>21</v>
      </c>
      <c r="H136" s="4">
        <v>5</v>
      </c>
      <c r="I136" s="4">
        <v>699.99</v>
      </c>
      <c r="J136" s="4" t="s">
        <v>22</v>
      </c>
      <c r="K136" s="4" t="s">
        <v>42</v>
      </c>
      <c r="L136" s="4" t="s">
        <v>29</v>
      </c>
      <c r="M136" s="5">
        <v>44635</v>
      </c>
      <c r="N136" s="4">
        <v>3499.95</v>
      </c>
      <c r="O136" s="9">
        <f t="shared" ca="1" si="12"/>
        <v>46106</v>
      </c>
      <c r="P136" s="10">
        <f t="shared" ca="1" si="13"/>
        <v>46106.913759606483</v>
      </c>
      <c r="Q136" s="11">
        <f t="shared" si="14"/>
        <v>31</v>
      </c>
      <c r="R136" s="11">
        <f t="shared" si="15"/>
        <v>31</v>
      </c>
      <c r="S136" s="13" t="str">
        <f t="shared" si="11"/>
        <v>high-value</v>
      </c>
    </row>
    <row r="137" spans="1:19" ht="15.75" customHeight="1" x14ac:dyDescent="0.45">
      <c r="A137" s="4" t="s">
        <v>278</v>
      </c>
      <c r="B137" s="5">
        <v>45592</v>
      </c>
      <c r="C137" s="4" t="s">
        <v>173</v>
      </c>
      <c r="D137" s="4" t="s">
        <v>174</v>
      </c>
      <c r="E137" s="4" t="s">
        <v>119</v>
      </c>
      <c r="F137" s="4" t="s">
        <v>120</v>
      </c>
      <c r="G137" s="4" t="s">
        <v>21</v>
      </c>
      <c r="H137" s="4">
        <v>3</v>
      </c>
      <c r="I137" s="4">
        <v>89.99</v>
      </c>
      <c r="J137" s="4" t="s">
        <v>28</v>
      </c>
      <c r="K137" s="4" t="s">
        <v>42</v>
      </c>
      <c r="L137" s="4" t="s">
        <v>38</v>
      </c>
      <c r="M137" s="5">
        <v>44615</v>
      </c>
      <c r="N137" s="4">
        <v>269.97000000000003</v>
      </c>
      <c r="O137" s="9">
        <f t="shared" ca="1" si="12"/>
        <v>46106</v>
      </c>
      <c r="P137" s="10">
        <f t="shared" ca="1" si="13"/>
        <v>46106.913759606483</v>
      </c>
      <c r="Q137" s="11">
        <f t="shared" si="14"/>
        <v>32</v>
      </c>
      <c r="R137" s="11">
        <f t="shared" si="15"/>
        <v>31</v>
      </c>
      <c r="S137" s="13" t="str">
        <f t="shared" si="11"/>
        <v>normal</v>
      </c>
    </row>
    <row r="138" spans="1:19" ht="15.75" customHeight="1" x14ac:dyDescent="0.45">
      <c r="A138" s="4" t="s">
        <v>279</v>
      </c>
      <c r="B138" s="5">
        <v>45597</v>
      </c>
      <c r="C138" s="4" t="s">
        <v>17</v>
      </c>
      <c r="D138" s="4" t="s">
        <v>18</v>
      </c>
      <c r="E138" s="4" t="s">
        <v>19</v>
      </c>
      <c r="F138" s="4" t="s">
        <v>20</v>
      </c>
      <c r="G138" s="4" t="s">
        <v>21</v>
      </c>
      <c r="H138" s="4">
        <v>5</v>
      </c>
      <c r="I138" s="4">
        <v>249.99</v>
      </c>
      <c r="J138" s="4" t="s">
        <v>28</v>
      </c>
      <c r="K138" s="4" t="s">
        <v>37</v>
      </c>
      <c r="L138" s="4" t="s">
        <v>38</v>
      </c>
      <c r="M138" s="5">
        <v>44881</v>
      </c>
      <c r="N138" s="4">
        <v>1249.95</v>
      </c>
      <c r="O138" s="9">
        <f t="shared" ca="1" si="12"/>
        <v>46106</v>
      </c>
      <c r="P138" s="10">
        <f t="shared" ca="1" si="13"/>
        <v>46106.913759606483</v>
      </c>
      <c r="Q138" s="11">
        <f t="shared" si="14"/>
        <v>23</v>
      </c>
      <c r="R138" s="11">
        <f t="shared" si="15"/>
        <v>30</v>
      </c>
      <c r="S138" s="13" t="str">
        <f t="shared" si="11"/>
        <v>normal</v>
      </c>
    </row>
    <row r="139" spans="1:19" ht="15.75" customHeight="1" x14ac:dyDescent="0.45">
      <c r="A139" s="4" t="s">
        <v>280</v>
      </c>
      <c r="B139" s="5">
        <v>45600</v>
      </c>
      <c r="C139" s="4" t="s">
        <v>67</v>
      </c>
      <c r="D139" s="4" t="s">
        <v>68</v>
      </c>
      <c r="E139" s="4" t="s">
        <v>107</v>
      </c>
      <c r="F139" s="4" t="s">
        <v>108</v>
      </c>
      <c r="G139" s="4" t="s">
        <v>48</v>
      </c>
      <c r="H139" s="4">
        <v>3</v>
      </c>
      <c r="I139" s="4">
        <v>299.99</v>
      </c>
      <c r="J139" s="4" t="s">
        <v>28</v>
      </c>
      <c r="K139" s="4" t="s">
        <v>37</v>
      </c>
      <c r="L139" s="4" t="s">
        <v>38</v>
      </c>
      <c r="M139" s="5">
        <v>44502</v>
      </c>
      <c r="N139" s="4">
        <v>899.97</v>
      </c>
      <c r="O139" s="9">
        <f t="shared" ca="1" si="12"/>
        <v>46106</v>
      </c>
      <c r="P139" s="10">
        <f t="shared" ca="1" si="13"/>
        <v>46106.913759606483</v>
      </c>
      <c r="Q139" s="11">
        <f t="shared" si="14"/>
        <v>36</v>
      </c>
      <c r="R139" s="11">
        <f t="shared" si="15"/>
        <v>30</v>
      </c>
      <c r="S139" s="13" t="str">
        <f t="shared" si="11"/>
        <v>normal</v>
      </c>
    </row>
    <row r="140" spans="1:19" ht="15.75" customHeight="1" x14ac:dyDescent="0.45">
      <c r="A140" s="4" t="s">
        <v>281</v>
      </c>
      <c r="B140" s="5">
        <v>45603</v>
      </c>
      <c r="C140" s="4" t="s">
        <v>101</v>
      </c>
      <c r="D140" s="4" t="s">
        <v>102</v>
      </c>
      <c r="E140" s="4" t="s">
        <v>119</v>
      </c>
      <c r="F140" s="4" t="s">
        <v>120</v>
      </c>
      <c r="G140" s="4" t="s">
        <v>21</v>
      </c>
      <c r="H140" s="4">
        <v>3</v>
      </c>
      <c r="I140" s="4">
        <v>89.99</v>
      </c>
      <c r="J140" s="4" t="s">
        <v>28</v>
      </c>
      <c r="K140" s="4" t="s">
        <v>42</v>
      </c>
      <c r="L140" s="4" t="s">
        <v>29</v>
      </c>
      <c r="M140" s="5">
        <v>44420</v>
      </c>
      <c r="N140" s="4">
        <v>269.97000000000003</v>
      </c>
      <c r="O140" s="9">
        <f t="shared" ca="1" si="12"/>
        <v>46106</v>
      </c>
      <c r="P140" s="10">
        <f t="shared" ca="1" si="13"/>
        <v>46106.913759606483</v>
      </c>
      <c r="Q140" s="11">
        <f t="shared" si="14"/>
        <v>38</v>
      </c>
      <c r="R140" s="11">
        <f t="shared" si="15"/>
        <v>30</v>
      </c>
      <c r="S140" s="13" t="str">
        <f t="shared" si="11"/>
        <v>normal</v>
      </c>
    </row>
    <row r="141" spans="1:19" ht="15.75" customHeight="1" x14ac:dyDescent="0.45">
      <c r="A141" s="4" t="s">
        <v>282</v>
      </c>
      <c r="B141" s="5">
        <v>45604</v>
      </c>
      <c r="C141" s="4" t="s">
        <v>91</v>
      </c>
      <c r="D141" s="4" t="s">
        <v>92</v>
      </c>
      <c r="E141" s="4" t="s">
        <v>46</v>
      </c>
      <c r="F141" s="4" t="s">
        <v>47</v>
      </c>
      <c r="G141" s="4" t="s">
        <v>48</v>
      </c>
      <c r="H141" s="4">
        <v>2</v>
      </c>
      <c r="I141" s="4">
        <v>149.99</v>
      </c>
      <c r="J141" s="4" t="s">
        <v>28</v>
      </c>
      <c r="K141" s="4" t="s">
        <v>52</v>
      </c>
      <c r="L141" s="4" t="s">
        <v>29</v>
      </c>
      <c r="M141" s="5">
        <v>44848</v>
      </c>
      <c r="N141" s="4">
        <v>299.98</v>
      </c>
      <c r="O141" s="9">
        <f t="shared" ca="1" si="12"/>
        <v>46106</v>
      </c>
      <c r="P141" s="10">
        <f t="shared" ca="1" si="13"/>
        <v>46106.913759606483</v>
      </c>
      <c r="Q141" s="11">
        <f t="shared" si="14"/>
        <v>24</v>
      </c>
      <c r="R141" s="11">
        <f t="shared" si="15"/>
        <v>30</v>
      </c>
      <c r="S141" s="13" t="str">
        <f t="shared" si="11"/>
        <v>normal</v>
      </c>
    </row>
    <row r="142" spans="1:19" ht="15.75" customHeight="1" x14ac:dyDescent="0.45">
      <c r="A142" s="4" t="s">
        <v>283</v>
      </c>
      <c r="B142" s="5">
        <v>45605</v>
      </c>
      <c r="C142" s="4" t="s">
        <v>187</v>
      </c>
      <c r="D142" s="4" t="s">
        <v>188</v>
      </c>
      <c r="E142" s="4" t="s">
        <v>19</v>
      </c>
      <c r="F142" s="4" t="s">
        <v>20</v>
      </c>
      <c r="G142" s="4" t="s">
        <v>21</v>
      </c>
      <c r="H142" s="4">
        <v>1</v>
      </c>
      <c r="I142" s="4">
        <v>249.99</v>
      </c>
      <c r="J142" s="4" t="s">
        <v>28</v>
      </c>
      <c r="K142" s="4" t="s">
        <v>42</v>
      </c>
      <c r="L142" s="4" t="s">
        <v>29</v>
      </c>
      <c r="M142" s="5">
        <v>44828</v>
      </c>
      <c r="N142" s="4">
        <v>249.99</v>
      </c>
      <c r="O142" s="9">
        <f t="shared" ca="1" si="12"/>
        <v>46106</v>
      </c>
      <c r="P142" s="10">
        <f t="shared" ca="1" si="13"/>
        <v>46106.913759606483</v>
      </c>
      <c r="Q142" s="11">
        <f t="shared" si="14"/>
        <v>25</v>
      </c>
      <c r="R142" s="11">
        <f t="shared" si="15"/>
        <v>30</v>
      </c>
      <c r="S142" s="13" t="str">
        <f t="shared" si="11"/>
        <v>normal</v>
      </c>
    </row>
    <row r="143" spans="1:19" ht="15.75" customHeight="1" x14ac:dyDescent="0.45">
      <c r="A143" s="4" t="s">
        <v>284</v>
      </c>
      <c r="B143" s="5">
        <v>45607</v>
      </c>
      <c r="C143" s="4" t="s">
        <v>74</v>
      </c>
      <c r="D143" s="4" t="s">
        <v>75</v>
      </c>
      <c r="E143" s="4" t="s">
        <v>54</v>
      </c>
      <c r="F143" s="4" t="s">
        <v>55</v>
      </c>
      <c r="G143" s="4" t="s">
        <v>21</v>
      </c>
      <c r="H143" s="4">
        <v>3</v>
      </c>
      <c r="I143" s="4">
        <v>149.99</v>
      </c>
      <c r="J143" s="4" t="s">
        <v>22</v>
      </c>
      <c r="K143" s="4" t="s">
        <v>42</v>
      </c>
      <c r="L143" s="4" t="s">
        <v>24</v>
      </c>
      <c r="M143" s="5">
        <v>44769</v>
      </c>
      <c r="N143" s="4">
        <v>449.97</v>
      </c>
      <c r="O143" s="9">
        <f t="shared" ca="1" si="12"/>
        <v>46106</v>
      </c>
      <c r="P143" s="10">
        <f t="shared" ca="1" si="13"/>
        <v>46106.913759606483</v>
      </c>
      <c r="Q143" s="11">
        <f t="shared" si="14"/>
        <v>27</v>
      </c>
      <c r="R143" s="11">
        <f t="shared" si="15"/>
        <v>30</v>
      </c>
      <c r="S143" s="13" t="str">
        <f t="shared" si="11"/>
        <v>normal</v>
      </c>
    </row>
    <row r="144" spans="1:19" ht="15.75" customHeight="1" x14ac:dyDescent="0.45">
      <c r="A144" s="4" t="s">
        <v>285</v>
      </c>
      <c r="B144" s="5">
        <v>45607</v>
      </c>
      <c r="C144" s="4" t="s">
        <v>17</v>
      </c>
      <c r="D144" s="4" t="s">
        <v>18</v>
      </c>
      <c r="E144" s="4" t="s">
        <v>33</v>
      </c>
      <c r="F144" s="4" t="s">
        <v>34</v>
      </c>
      <c r="G144" s="4" t="s">
        <v>35</v>
      </c>
      <c r="H144" s="4">
        <v>5</v>
      </c>
      <c r="I144" s="4">
        <v>59.99</v>
      </c>
      <c r="J144" s="4" t="s">
        <v>36</v>
      </c>
      <c r="K144" s="4" t="s">
        <v>52</v>
      </c>
      <c r="L144" s="4" t="s">
        <v>29</v>
      </c>
      <c r="M144" s="5">
        <v>44694</v>
      </c>
      <c r="N144" s="4">
        <v>299.95</v>
      </c>
      <c r="O144" s="9">
        <f t="shared" ca="1" si="12"/>
        <v>46106</v>
      </c>
      <c r="P144" s="10">
        <f t="shared" ca="1" si="13"/>
        <v>46106.913759606483</v>
      </c>
      <c r="Q144" s="11">
        <f t="shared" si="14"/>
        <v>29</v>
      </c>
      <c r="R144" s="11">
        <f t="shared" si="15"/>
        <v>30</v>
      </c>
      <c r="S144" s="13" t="str">
        <f t="shared" si="11"/>
        <v>normal</v>
      </c>
    </row>
    <row r="145" spans="1:19" ht="15.75" customHeight="1" x14ac:dyDescent="0.45">
      <c r="A145" s="4" t="s">
        <v>286</v>
      </c>
      <c r="B145" s="5">
        <v>45607</v>
      </c>
      <c r="C145" s="4" t="s">
        <v>101</v>
      </c>
      <c r="D145" s="4" t="s">
        <v>102</v>
      </c>
      <c r="E145" s="4" t="s">
        <v>19</v>
      </c>
      <c r="F145" s="4" t="s">
        <v>20</v>
      </c>
      <c r="G145" s="4" t="s">
        <v>21</v>
      </c>
      <c r="H145" s="4">
        <v>4</v>
      </c>
      <c r="I145" s="4">
        <v>249.99</v>
      </c>
      <c r="J145" s="4" t="s">
        <v>28</v>
      </c>
      <c r="K145" s="4" t="s">
        <v>52</v>
      </c>
      <c r="L145" s="4" t="s">
        <v>38</v>
      </c>
      <c r="M145" s="5">
        <v>44659</v>
      </c>
      <c r="N145" s="4">
        <v>999.96</v>
      </c>
      <c r="O145" s="9">
        <f t="shared" ca="1" si="12"/>
        <v>46106</v>
      </c>
      <c r="P145" s="10">
        <f t="shared" ca="1" si="13"/>
        <v>46106.913759606483</v>
      </c>
      <c r="Q145" s="11">
        <f t="shared" si="14"/>
        <v>31</v>
      </c>
      <c r="R145" s="11">
        <f t="shared" si="15"/>
        <v>30</v>
      </c>
      <c r="S145" s="13" t="str">
        <f t="shared" si="11"/>
        <v>normal</v>
      </c>
    </row>
    <row r="146" spans="1:19" ht="15.75" customHeight="1" x14ac:dyDescent="0.45">
      <c r="A146" s="4" t="s">
        <v>287</v>
      </c>
      <c r="B146" s="5">
        <v>45608</v>
      </c>
      <c r="C146" s="4" t="s">
        <v>156</v>
      </c>
      <c r="D146" s="4" t="s">
        <v>157</v>
      </c>
      <c r="E146" s="4" t="s">
        <v>46</v>
      </c>
      <c r="F146" s="4" t="s">
        <v>47</v>
      </c>
      <c r="G146" s="4" t="s">
        <v>48</v>
      </c>
      <c r="H146" s="4">
        <v>5</v>
      </c>
      <c r="I146" s="4">
        <v>149.99</v>
      </c>
      <c r="J146" s="4" t="s">
        <v>36</v>
      </c>
      <c r="K146" s="4" t="s">
        <v>23</v>
      </c>
      <c r="L146" s="4" t="s">
        <v>24</v>
      </c>
      <c r="M146" s="5">
        <v>44901</v>
      </c>
      <c r="N146" s="4">
        <v>749.95</v>
      </c>
      <c r="O146" s="9">
        <f t="shared" ca="1" si="12"/>
        <v>46106</v>
      </c>
      <c r="P146" s="10">
        <f t="shared" ca="1" si="13"/>
        <v>46106.913759606483</v>
      </c>
      <c r="Q146" s="11">
        <f t="shared" si="14"/>
        <v>23</v>
      </c>
      <c r="R146" s="11">
        <f t="shared" si="15"/>
        <v>30</v>
      </c>
      <c r="S146" s="13" t="str">
        <f t="shared" si="11"/>
        <v>normal</v>
      </c>
    </row>
    <row r="147" spans="1:19" ht="15.75" customHeight="1" x14ac:dyDescent="0.45">
      <c r="A147" s="4" t="s">
        <v>288</v>
      </c>
      <c r="B147" s="5">
        <v>45608</v>
      </c>
      <c r="C147" s="4" t="s">
        <v>85</v>
      </c>
      <c r="D147" s="4" t="s">
        <v>86</v>
      </c>
      <c r="E147" s="4" t="s">
        <v>33</v>
      </c>
      <c r="F147" s="4" t="s">
        <v>34</v>
      </c>
      <c r="G147" s="4" t="s">
        <v>35</v>
      </c>
      <c r="H147" s="4">
        <v>3</v>
      </c>
      <c r="I147" s="4">
        <v>59.99</v>
      </c>
      <c r="J147" s="4" t="s">
        <v>59</v>
      </c>
      <c r="K147" s="4" t="s">
        <v>37</v>
      </c>
      <c r="L147" s="4" t="s">
        <v>38</v>
      </c>
      <c r="M147" s="5">
        <v>45260</v>
      </c>
      <c r="N147" s="4">
        <v>179.97</v>
      </c>
      <c r="O147" s="9">
        <f t="shared" ca="1" si="12"/>
        <v>46106</v>
      </c>
      <c r="P147" s="10">
        <f t="shared" ca="1" si="13"/>
        <v>46106.913759606483</v>
      </c>
      <c r="Q147" s="11">
        <f t="shared" si="14"/>
        <v>11</v>
      </c>
      <c r="R147" s="11">
        <f t="shared" si="15"/>
        <v>30</v>
      </c>
      <c r="S147" s="13" t="str">
        <f t="shared" si="11"/>
        <v>normal</v>
      </c>
    </row>
    <row r="148" spans="1:19" ht="15.75" customHeight="1" x14ac:dyDescent="0.45">
      <c r="A148" s="4" t="s">
        <v>289</v>
      </c>
      <c r="B148" s="5">
        <v>45613</v>
      </c>
      <c r="C148" s="4" t="s">
        <v>236</v>
      </c>
      <c r="D148" s="4" t="s">
        <v>237</v>
      </c>
      <c r="E148" s="4" t="s">
        <v>46</v>
      </c>
      <c r="F148" s="4" t="s">
        <v>47</v>
      </c>
      <c r="G148" s="4" t="s">
        <v>48</v>
      </c>
      <c r="H148" s="4">
        <v>5</v>
      </c>
      <c r="I148" s="4">
        <v>149.99</v>
      </c>
      <c r="J148" s="4" t="s">
        <v>22</v>
      </c>
      <c r="K148" s="4" t="s">
        <v>42</v>
      </c>
      <c r="L148" s="4" t="s">
        <v>24</v>
      </c>
      <c r="M148" s="5">
        <v>44869</v>
      </c>
      <c r="N148" s="4">
        <v>749.95</v>
      </c>
      <c r="O148" s="9">
        <f t="shared" ca="1" si="12"/>
        <v>46106</v>
      </c>
      <c r="P148" s="10">
        <f t="shared" ca="1" si="13"/>
        <v>46106.913759606483</v>
      </c>
      <c r="Q148" s="11">
        <f t="shared" si="14"/>
        <v>24</v>
      </c>
      <c r="R148" s="11">
        <f t="shared" si="15"/>
        <v>30</v>
      </c>
      <c r="S148" s="13" t="str">
        <f t="shared" si="11"/>
        <v>normal</v>
      </c>
    </row>
    <row r="149" spans="1:19" ht="15.75" customHeight="1" x14ac:dyDescent="0.45">
      <c r="A149" s="4" t="s">
        <v>290</v>
      </c>
      <c r="B149" s="5">
        <v>45613</v>
      </c>
      <c r="C149" s="4" t="s">
        <v>88</v>
      </c>
      <c r="D149" s="4" t="s">
        <v>89</v>
      </c>
      <c r="E149" s="4" t="s">
        <v>82</v>
      </c>
      <c r="F149" s="4" t="s">
        <v>83</v>
      </c>
      <c r="G149" s="4" t="s">
        <v>21</v>
      </c>
      <c r="H149" s="4">
        <v>2</v>
      </c>
      <c r="I149" s="4">
        <v>699.99</v>
      </c>
      <c r="J149" s="4" t="s">
        <v>36</v>
      </c>
      <c r="K149" s="4" t="s">
        <v>52</v>
      </c>
      <c r="L149" s="4" t="s">
        <v>38</v>
      </c>
      <c r="M149" s="5">
        <v>44770</v>
      </c>
      <c r="N149" s="4">
        <v>1399.98</v>
      </c>
      <c r="O149" s="9">
        <f t="shared" ca="1" si="12"/>
        <v>46106</v>
      </c>
      <c r="P149" s="10">
        <f t="shared" ca="1" si="13"/>
        <v>46106.913759606483</v>
      </c>
      <c r="Q149" s="11">
        <f t="shared" si="14"/>
        <v>27</v>
      </c>
      <c r="R149" s="11">
        <f t="shared" si="15"/>
        <v>30</v>
      </c>
      <c r="S149" s="13" t="str">
        <f t="shared" si="11"/>
        <v>normal</v>
      </c>
    </row>
    <row r="150" spans="1:19" ht="15.75" customHeight="1" x14ac:dyDescent="0.45">
      <c r="A150" s="4" t="s">
        <v>291</v>
      </c>
      <c r="B150" s="5">
        <v>45617</v>
      </c>
      <c r="C150" s="4" t="s">
        <v>125</v>
      </c>
      <c r="D150" s="4" t="s">
        <v>126</v>
      </c>
      <c r="E150" s="4" t="s">
        <v>128</v>
      </c>
      <c r="F150" s="4" t="s">
        <v>129</v>
      </c>
      <c r="G150" s="4" t="s">
        <v>48</v>
      </c>
      <c r="H150" s="4">
        <v>4</v>
      </c>
      <c r="I150" s="4">
        <v>199.99</v>
      </c>
      <c r="J150" s="4" t="s">
        <v>59</v>
      </c>
      <c r="K150" s="4" t="s">
        <v>23</v>
      </c>
      <c r="L150" s="4" t="s">
        <v>29</v>
      </c>
      <c r="M150" s="5">
        <v>44427</v>
      </c>
      <c r="N150" s="4">
        <v>799.96</v>
      </c>
      <c r="O150" s="9">
        <f t="shared" ca="1" si="12"/>
        <v>46106</v>
      </c>
      <c r="P150" s="10">
        <f t="shared" ca="1" si="13"/>
        <v>46106.913759606483</v>
      </c>
      <c r="Q150" s="11">
        <f t="shared" si="14"/>
        <v>39</v>
      </c>
      <c r="R150" s="11">
        <f t="shared" si="15"/>
        <v>30</v>
      </c>
      <c r="S150" s="13" t="str">
        <f t="shared" si="11"/>
        <v>normal</v>
      </c>
    </row>
    <row r="151" spans="1:19" ht="15.75" customHeight="1" x14ac:dyDescent="0.45">
      <c r="A151" s="4" t="s">
        <v>292</v>
      </c>
      <c r="B151" s="5">
        <v>45619</v>
      </c>
      <c r="C151" s="4" t="s">
        <v>194</v>
      </c>
      <c r="D151" s="4" t="s">
        <v>195</v>
      </c>
      <c r="E151" s="4" t="s">
        <v>33</v>
      </c>
      <c r="F151" s="4" t="s">
        <v>34</v>
      </c>
      <c r="G151" s="4" t="s">
        <v>35</v>
      </c>
      <c r="H151" s="4">
        <v>1</v>
      </c>
      <c r="I151" s="4">
        <v>59.99</v>
      </c>
      <c r="J151" s="4" t="s">
        <v>59</v>
      </c>
      <c r="K151" s="4" t="s">
        <v>52</v>
      </c>
      <c r="L151" s="4" t="s">
        <v>38</v>
      </c>
      <c r="M151" s="5">
        <v>44560</v>
      </c>
      <c r="N151" s="4">
        <v>59.99</v>
      </c>
      <c r="O151" s="9">
        <f t="shared" ca="1" si="12"/>
        <v>46106</v>
      </c>
      <c r="P151" s="10">
        <f t="shared" ca="1" si="13"/>
        <v>46106.913759606483</v>
      </c>
      <c r="Q151" s="11">
        <f t="shared" si="14"/>
        <v>34</v>
      </c>
      <c r="R151" s="11">
        <f t="shared" si="15"/>
        <v>30</v>
      </c>
      <c r="S151" s="13" t="str">
        <f t="shared" si="11"/>
        <v>normal</v>
      </c>
    </row>
    <row r="152" spans="1:19" ht="15.75" customHeight="1" x14ac:dyDescent="0.45">
      <c r="A152" s="4" t="s">
        <v>293</v>
      </c>
      <c r="B152" s="5">
        <v>45619</v>
      </c>
      <c r="C152" s="4" t="s">
        <v>156</v>
      </c>
      <c r="D152" s="4" t="s">
        <v>157</v>
      </c>
      <c r="E152" s="4" t="s">
        <v>82</v>
      </c>
      <c r="F152" s="4" t="s">
        <v>83</v>
      </c>
      <c r="G152" s="4" t="s">
        <v>21</v>
      </c>
      <c r="H152" s="4">
        <v>3</v>
      </c>
      <c r="I152" s="4">
        <v>699.99</v>
      </c>
      <c r="J152" s="4" t="s">
        <v>36</v>
      </c>
      <c r="K152" s="4" t="s">
        <v>52</v>
      </c>
      <c r="L152" s="4" t="s">
        <v>38</v>
      </c>
      <c r="M152" s="5">
        <v>44583</v>
      </c>
      <c r="N152" s="4">
        <v>2099.9699999999998</v>
      </c>
      <c r="O152" s="9">
        <f t="shared" ca="1" si="12"/>
        <v>46106</v>
      </c>
      <c r="P152" s="10">
        <f t="shared" ca="1" si="13"/>
        <v>46106.913759606483</v>
      </c>
      <c r="Q152" s="11">
        <f t="shared" si="14"/>
        <v>34</v>
      </c>
      <c r="R152" s="11">
        <f t="shared" si="15"/>
        <v>30</v>
      </c>
      <c r="S152" s="13" t="str">
        <f t="shared" si="11"/>
        <v>high-value</v>
      </c>
    </row>
    <row r="153" spans="1:19" ht="15.75" customHeight="1" x14ac:dyDescent="0.45">
      <c r="A153" s="4" t="s">
        <v>294</v>
      </c>
      <c r="B153" s="5">
        <v>45622</v>
      </c>
      <c r="C153" s="4" t="s">
        <v>295</v>
      </c>
      <c r="D153" s="4" t="s">
        <v>296</v>
      </c>
      <c r="E153" s="4" t="s">
        <v>19</v>
      </c>
      <c r="F153" s="4" t="s">
        <v>20</v>
      </c>
      <c r="G153" s="4" t="s">
        <v>21</v>
      </c>
      <c r="H153" s="4">
        <v>5</v>
      </c>
      <c r="I153" s="4">
        <v>249.99</v>
      </c>
      <c r="J153" s="4" t="s">
        <v>28</v>
      </c>
      <c r="K153" s="4" t="s">
        <v>42</v>
      </c>
      <c r="L153" s="4" t="s">
        <v>24</v>
      </c>
      <c r="M153" s="5">
        <v>44873</v>
      </c>
      <c r="N153" s="4">
        <v>1249.95</v>
      </c>
      <c r="O153" s="9">
        <f t="shared" ca="1" si="12"/>
        <v>46106</v>
      </c>
      <c r="P153" s="10">
        <f t="shared" ca="1" si="13"/>
        <v>46106.913759606483</v>
      </c>
      <c r="Q153" s="11">
        <f t="shared" si="14"/>
        <v>24</v>
      </c>
      <c r="R153" s="11">
        <f t="shared" si="15"/>
        <v>30</v>
      </c>
      <c r="S153" s="13" t="str">
        <f t="shared" si="11"/>
        <v>normal</v>
      </c>
    </row>
    <row r="154" spans="1:19" ht="15.75" customHeight="1" x14ac:dyDescent="0.45">
      <c r="A154" s="4" t="s">
        <v>297</v>
      </c>
      <c r="B154" s="5">
        <v>45623</v>
      </c>
      <c r="C154" s="4" t="s">
        <v>114</v>
      </c>
      <c r="D154" s="4" t="s">
        <v>115</v>
      </c>
      <c r="E154" s="4" t="s">
        <v>46</v>
      </c>
      <c r="F154" s="4" t="s">
        <v>47</v>
      </c>
      <c r="G154" s="4" t="s">
        <v>48</v>
      </c>
      <c r="H154" s="4">
        <v>2</v>
      </c>
      <c r="I154" s="4">
        <v>149.99</v>
      </c>
      <c r="J154" s="4" t="s">
        <v>22</v>
      </c>
      <c r="K154" s="4" t="s">
        <v>37</v>
      </c>
      <c r="L154" s="4" t="s">
        <v>38</v>
      </c>
      <c r="M154" s="5">
        <v>45101</v>
      </c>
      <c r="N154" s="4">
        <v>299.98</v>
      </c>
      <c r="O154" s="9">
        <f t="shared" ca="1" si="12"/>
        <v>46106</v>
      </c>
      <c r="P154" s="10">
        <f t="shared" ca="1" si="13"/>
        <v>46106.913759606483</v>
      </c>
      <c r="Q154" s="11">
        <f t="shared" si="14"/>
        <v>17</v>
      </c>
      <c r="R154" s="11">
        <f t="shared" si="15"/>
        <v>30</v>
      </c>
      <c r="S154" s="13" t="str">
        <f t="shared" si="11"/>
        <v>normal</v>
      </c>
    </row>
    <row r="155" spans="1:19" ht="15.75" customHeight="1" x14ac:dyDescent="0.45">
      <c r="A155" s="4" t="s">
        <v>298</v>
      </c>
      <c r="B155" s="5">
        <v>45627</v>
      </c>
      <c r="C155" s="4" t="s">
        <v>31</v>
      </c>
      <c r="D155" s="4" t="s">
        <v>32</v>
      </c>
      <c r="E155" s="4" t="s">
        <v>107</v>
      </c>
      <c r="F155" s="4" t="s">
        <v>108</v>
      </c>
      <c r="G155" s="4" t="s">
        <v>48</v>
      </c>
      <c r="H155" s="4">
        <v>3</v>
      </c>
      <c r="I155" s="4">
        <v>299.99</v>
      </c>
      <c r="J155" s="4" t="s">
        <v>22</v>
      </c>
      <c r="K155" s="4" t="s">
        <v>37</v>
      </c>
      <c r="L155" s="4" t="s">
        <v>29</v>
      </c>
      <c r="M155" s="5">
        <v>44659</v>
      </c>
      <c r="N155" s="4">
        <v>899.97</v>
      </c>
      <c r="O155" s="9">
        <f t="shared" ca="1" si="12"/>
        <v>46106</v>
      </c>
      <c r="P155" s="10">
        <f t="shared" ca="1" si="13"/>
        <v>46106.913759606483</v>
      </c>
      <c r="Q155" s="11">
        <f t="shared" si="14"/>
        <v>31</v>
      </c>
      <c r="R155" s="11">
        <f t="shared" si="15"/>
        <v>31</v>
      </c>
      <c r="S155" s="13" t="str">
        <f t="shared" si="11"/>
        <v>normal</v>
      </c>
    </row>
    <row r="156" spans="1:19" ht="15.75" customHeight="1" x14ac:dyDescent="0.45">
      <c r="A156" s="4" t="s">
        <v>299</v>
      </c>
      <c r="B156" s="5">
        <v>45627</v>
      </c>
      <c r="C156" s="4" t="s">
        <v>57</v>
      </c>
      <c r="D156" s="4" t="s">
        <v>58</v>
      </c>
      <c r="E156" s="4" t="s">
        <v>19</v>
      </c>
      <c r="F156" s="4" t="s">
        <v>20</v>
      </c>
      <c r="G156" s="4" t="s">
        <v>21</v>
      </c>
      <c r="H156" s="4">
        <v>5</v>
      </c>
      <c r="I156" s="4">
        <v>249.99</v>
      </c>
      <c r="J156" s="4" t="s">
        <v>22</v>
      </c>
      <c r="K156" s="4" t="s">
        <v>23</v>
      </c>
      <c r="L156" s="4" t="s">
        <v>29</v>
      </c>
      <c r="M156" s="5">
        <v>44485</v>
      </c>
      <c r="N156" s="4">
        <v>1249.95</v>
      </c>
      <c r="O156" s="9">
        <f t="shared" ca="1" si="12"/>
        <v>46106</v>
      </c>
      <c r="P156" s="10">
        <f t="shared" ca="1" si="13"/>
        <v>46106.913759606483</v>
      </c>
      <c r="Q156" s="11">
        <f t="shared" si="14"/>
        <v>37</v>
      </c>
      <c r="R156" s="11">
        <f t="shared" si="15"/>
        <v>31</v>
      </c>
      <c r="S156" s="13" t="str">
        <f t="shared" si="11"/>
        <v>normal</v>
      </c>
    </row>
    <row r="157" spans="1:19" ht="15.75" customHeight="1" x14ac:dyDescent="0.45">
      <c r="A157" s="4" t="s">
        <v>300</v>
      </c>
      <c r="B157" s="5">
        <v>45627</v>
      </c>
      <c r="C157" s="4" t="s">
        <v>26</v>
      </c>
      <c r="D157" s="4" t="s">
        <v>27</v>
      </c>
      <c r="E157" s="4" t="s">
        <v>54</v>
      </c>
      <c r="F157" s="4" t="s">
        <v>55</v>
      </c>
      <c r="G157" s="4" t="s">
        <v>21</v>
      </c>
      <c r="H157" s="4">
        <v>2</v>
      </c>
      <c r="I157" s="4">
        <v>149.99</v>
      </c>
      <c r="J157" s="4" t="s">
        <v>22</v>
      </c>
      <c r="K157" s="4" t="s">
        <v>37</v>
      </c>
      <c r="L157" s="4" t="s">
        <v>29</v>
      </c>
      <c r="M157" s="5">
        <v>44475</v>
      </c>
      <c r="N157" s="4">
        <v>299.98</v>
      </c>
      <c r="O157" s="9">
        <f t="shared" ca="1" si="12"/>
        <v>46106</v>
      </c>
      <c r="P157" s="10">
        <f t="shared" ca="1" si="13"/>
        <v>46106.913759606483</v>
      </c>
      <c r="Q157" s="11">
        <f t="shared" si="14"/>
        <v>37</v>
      </c>
      <c r="R157" s="11">
        <f t="shared" si="15"/>
        <v>31</v>
      </c>
      <c r="S157" s="13" t="str">
        <f t="shared" si="11"/>
        <v>normal</v>
      </c>
    </row>
    <row r="158" spans="1:19" ht="15.75" customHeight="1" x14ac:dyDescent="0.45">
      <c r="A158" s="4" t="s">
        <v>301</v>
      </c>
      <c r="B158" s="5">
        <v>45627</v>
      </c>
      <c r="C158" s="4" t="s">
        <v>88</v>
      </c>
      <c r="D158" s="4" t="s">
        <v>89</v>
      </c>
      <c r="E158" s="4" t="s">
        <v>82</v>
      </c>
      <c r="F158" s="4" t="s">
        <v>83</v>
      </c>
      <c r="G158" s="4" t="s">
        <v>21</v>
      </c>
      <c r="H158" s="4">
        <v>5</v>
      </c>
      <c r="I158" s="4">
        <v>699.99</v>
      </c>
      <c r="J158" s="4" t="s">
        <v>59</v>
      </c>
      <c r="K158" s="4" t="s">
        <v>52</v>
      </c>
      <c r="L158" s="4" t="s">
        <v>38</v>
      </c>
      <c r="M158" s="5">
        <v>44944</v>
      </c>
      <c r="N158" s="4">
        <v>3499.95</v>
      </c>
      <c r="O158" s="9">
        <f t="shared" ca="1" si="12"/>
        <v>46106</v>
      </c>
      <c r="P158" s="10">
        <f t="shared" ca="1" si="13"/>
        <v>46106.913759606483</v>
      </c>
      <c r="Q158" s="11">
        <f t="shared" si="14"/>
        <v>22</v>
      </c>
      <c r="R158" s="11">
        <f t="shared" si="15"/>
        <v>31</v>
      </c>
      <c r="S158" s="13" t="str">
        <f t="shared" si="11"/>
        <v>high-value</v>
      </c>
    </row>
    <row r="159" spans="1:19" ht="15.75" customHeight="1" x14ac:dyDescent="0.45">
      <c r="A159" s="4" t="s">
        <v>302</v>
      </c>
      <c r="B159" s="5">
        <v>45629</v>
      </c>
      <c r="C159" s="4" t="s">
        <v>254</v>
      </c>
      <c r="D159" s="4" t="s">
        <v>255</v>
      </c>
      <c r="E159" s="4" t="s">
        <v>19</v>
      </c>
      <c r="F159" s="4" t="s">
        <v>20</v>
      </c>
      <c r="G159" s="4" t="s">
        <v>21</v>
      </c>
      <c r="H159" s="4">
        <v>4</v>
      </c>
      <c r="I159" s="4">
        <v>249.99</v>
      </c>
      <c r="J159" s="4" t="s">
        <v>36</v>
      </c>
      <c r="K159" s="4" t="s">
        <v>65</v>
      </c>
      <c r="L159" s="4" t="s">
        <v>29</v>
      </c>
      <c r="M159" s="5">
        <v>45098</v>
      </c>
      <c r="N159" s="4">
        <v>999.96</v>
      </c>
      <c r="O159" s="9">
        <f t="shared" ca="1" si="12"/>
        <v>46106</v>
      </c>
      <c r="P159" s="10">
        <f t="shared" ca="1" si="13"/>
        <v>46106.913759606483</v>
      </c>
      <c r="Q159" s="11">
        <f t="shared" si="14"/>
        <v>17</v>
      </c>
      <c r="R159" s="11">
        <f t="shared" si="15"/>
        <v>31</v>
      </c>
      <c r="S159" s="13" t="str">
        <f t="shared" si="11"/>
        <v>normal</v>
      </c>
    </row>
    <row r="160" spans="1:19" ht="15.75" customHeight="1" x14ac:dyDescent="0.45">
      <c r="A160" s="4" t="s">
        <v>303</v>
      </c>
      <c r="B160" s="5">
        <v>45630</v>
      </c>
      <c r="C160" s="4" t="s">
        <v>50</v>
      </c>
      <c r="D160" s="4" t="s">
        <v>51</v>
      </c>
      <c r="E160" s="4" t="s">
        <v>82</v>
      </c>
      <c r="F160" s="4" t="s">
        <v>83</v>
      </c>
      <c r="G160" s="4" t="s">
        <v>21</v>
      </c>
      <c r="H160" s="4">
        <v>4</v>
      </c>
      <c r="I160" s="4">
        <v>699.99</v>
      </c>
      <c r="J160" s="4" t="s">
        <v>28</v>
      </c>
      <c r="K160" s="4" t="s">
        <v>42</v>
      </c>
      <c r="L160" s="4" t="s">
        <v>29</v>
      </c>
      <c r="M160" s="5">
        <v>44703</v>
      </c>
      <c r="N160" s="4">
        <v>2799.96</v>
      </c>
      <c r="O160" s="9">
        <f t="shared" ca="1" si="12"/>
        <v>46106</v>
      </c>
      <c r="P160" s="10">
        <f t="shared" ca="1" si="13"/>
        <v>46106.913759606483</v>
      </c>
      <c r="Q160" s="11">
        <f t="shared" si="14"/>
        <v>30</v>
      </c>
      <c r="R160" s="11">
        <f t="shared" si="15"/>
        <v>31</v>
      </c>
      <c r="S160" s="13" t="str">
        <f t="shared" si="11"/>
        <v>high-value</v>
      </c>
    </row>
    <row r="161" spans="1:19" ht="15.75" customHeight="1" x14ac:dyDescent="0.45">
      <c r="A161" s="4" t="s">
        <v>304</v>
      </c>
      <c r="B161" s="5">
        <v>45635</v>
      </c>
      <c r="C161" s="4" t="s">
        <v>110</v>
      </c>
      <c r="D161" s="4" t="s">
        <v>111</v>
      </c>
      <c r="E161" s="4" t="s">
        <v>19</v>
      </c>
      <c r="F161" s="4" t="s">
        <v>20</v>
      </c>
      <c r="G161" s="4" t="s">
        <v>21</v>
      </c>
      <c r="H161" s="4">
        <v>2</v>
      </c>
      <c r="I161" s="4">
        <v>249.99</v>
      </c>
      <c r="J161" s="4" t="s">
        <v>28</v>
      </c>
      <c r="K161" s="4" t="s">
        <v>23</v>
      </c>
      <c r="L161" s="4" t="s">
        <v>29</v>
      </c>
      <c r="M161" s="5">
        <v>44396</v>
      </c>
      <c r="N161" s="4">
        <v>499.98</v>
      </c>
      <c r="O161" s="9">
        <f t="shared" ca="1" si="12"/>
        <v>46106</v>
      </c>
      <c r="P161" s="10">
        <f t="shared" ca="1" si="13"/>
        <v>46106.913759606483</v>
      </c>
      <c r="Q161" s="11">
        <f t="shared" si="14"/>
        <v>40</v>
      </c>
      <c r="R161" s="11">
        <f t="shared" si="15"/>
        <v>31</v>
      </c>
      <c r="S161" s="13" t="str">
        <f t="shared" si="11"/>
        <v>normal</v>
      </c>
    </row>
    <row r="162" spans="1:19" ht="15.75" customHeight="1" x14ac:dyDescent="0.45">
      <c r="A162" s="4" t="s">
        <v>305</v>
      </c>
      <c r="B162" s="5">
        <v>45635</v>
      </c>
      <c r="C162" s="4" t="s">
        <v>306</v>
      </c>
      <c r="D162" s="4" t="s">
        <v>307</v>
      </c>
      <c r="E162" s="4" t="s">
        <v>33</v>
      </c>
      <c r="F162" s="4" t="s">
        <v>34</v>
      </c>
      <c r="G162" s="4" t="s">
        <v>35</v>
      </c>
      <c r="H162" s="4">
        <v>3</v>
      </c>
      <c r="I162" s="4">
        <v>59.99</v>
      </c>
      <c r="J162" s="4" t="s">
        <v>22</v>
      </c>
      <c r="K162" s="4" t="s">
        <v>23</v>
      </c>
      <c r="L162" s="4" t="s">
        <v>29</v>
      </c>
      <c r="M162" s="5">
        <v>45052</v>
      </c>
      <c r="N162" s="4">
        <v>179.97</v>
      </c>
      <c r="O162" s="9">
        <f t="shared" ca="1" si="12"/>
        <v>46106</v>
      </c>
      <c r="P162" s="10">
        <f t="shared" ca="1" si="13"/>
        <v>46106.913759606483</v>
      </c>
      <c r="Q162" s="11">
        <f t="shared" si="14"/>
        <v>19</v>
      </c>
      <c r="R162" s="11">
        <f t="shared" si="15"/>
        <v>31</v>
      </c>
      <c r="S162" s="13" t="str">
        <f t="shared" si="11"/>
        <v>normal</v>
      </c>
    </row>
    <row r="163" spans="1:19" ht="15.75" customHeight="1" x14ac:dyDescent="0.45">
      <c r="A163" s="4" t="s">
        <v>308</v>
      </c>
      <c r="B163" s="5">
        <v>45635</v>
      </c>
      <c r="C163" s="4" t="s">
        <v>143</v>
      </c>
      <c r="D163" s="4" t="s">
        <v>144</v>
      </c>
      <c r="E163" s="4" t="s">
        <v>116</v>
      </c>
      <c r="F163" s="4" t="s">
        <v>117</v>
      </c>
      <c r="G163" s="4" t="s">
        <v>35</v>
      </c>
      <c r="H163" s="4">
        <v>4</v>
      </c>
      <c r="I163" s="4">
        <v>79.989999999999995</v>
      </c>
      <c r="J163" s="4" t="s">
        <v>59</v>
      </c>
      <c r="K163" s="4" t="s">
        <v>65</v>
      </c>
      <c r="L163" s="4" t="s">
        <v>38</v>
      </c>
      <c r="M163" s="5">
        <v>44921</v>
      </c>
      <c r="N163" s="4">
        <v>319.95999999999998</v>
      </c>
      <c r="O163" s="9">
        <f t="shared" ca="1" si="12"/>
        <v>46106</v>
      </c>
      <c r="P163" s="10">
        <f t="shared" ca="1" si="13"/>
        <v>46106.913759606483</v>
      </c>
      <c r="Q163" s="11">
        <f t="shared" si="14"/>
        <v>23</v>
      </c>
      <c r="R163" s="11">
        <f t="shared" si="15"/>
        <v>31</v>
      </c>
      <c r="S163" s="13" t="str">
        <f t="shared" si="11"/>
        <v>normal</v>
      </c>
    </row>
    <row r="164" spans="1:19" ht="15.75" customHeight="1" x14ac:dyDescent="0.45">
      <c r="A164" s="4" t="s">
        <v>309</v>
      </c>
      <c r="B164" s="5">
        <v>45636</v>
      </c>
      <c r="C164" s="4" t="s">
        <v>122</v>
      </c>
      <c r="D164" s="4" t="s">
        <v>123</v>
      </c>
      <c r="E164" s="4" t="s">
        <v>116</v>
      </c>
      <c r="F164" s="4" t="s">
        <v>117</v>
      </c>
      <c r="G164" s="4" t="s">
        <v>35</v>
      </c>
      <c r="H164" s="4">
        <v>3</v>
      </c>
      <c r="I164" s="4">
        <v>79.989999999999995</v>
      </c>
      <c r="J164" s="4" t="s">
        <v>59</v>
      </c>
      <c r="K164" s="4" t="s">
        <v>65</v>
      </c>
      <c r="L164" s="4" t="s">
        <v>38</v>
      </c>
      <c r="M164" s="5">
        <v>44779</v>
      </c>
      <c r="N164" s="4">
        <v>239.97</v>
      </c>
      <c r="O164" s="9">
        <f t="shared" ca="1" si="12"/>
        <v>46106</v>
      </c>
      <c r="P164" s="10">
        <f t="shared" ca="1" si="13"/>
        <v>46106.913759606483</v>
      </c>
      <c r="Q164" s="11">
        <f t="shared" si="14"/>
        <v>28</v>
      </c>
      <c r="R164" s="11">
        <f t="shared" si="15"/>
        <v>31</v>
      </c>
      <c r="S164" s="13" t="str">
        <f t="shared" si="11"/>
        <v>normal</v>
      </c>
    </row>
    <row r="165" spans="1:19" ht="15.75" customHeight="1" x14ac:dyDescent="0.45">
      <c r="A165" s="4" t="s">
        <v>310</v>
      </c>
      <c r="B165" s="5">
        <v>45638</v>
      </c>
      <c r="C165" s="4" t="s">
        <v>74</v>
      </c>
      <c r="D165" s="4" t="s">
        <v>75</v>
      </c>
      <c r="E165" s="4" t="s">
        <v>63</v>
      </c>
      <c r="F165" s="4" t="s">
        <v>64</v>
      </c>
      <c r="G165" s="4" t="s">
        <v>21</v>
      </c>
      <c r="H165" s="4">
        <v>2</v>
      </c>
      <c r="I165" s="4">
        <v>899.99</v>
      </c>
      <c r="J165" s="4" t="s">
        <v>22</v>
      </c>
      <c r="K165" s="4" t="s">
        <v>42</v>
      </c>
      <c r="L165" s="4" t="s">
        <v>24</v>
      </c>
      <c r="M165" s="5">
        <v>44406</v>
      </c>
      <c r="N165" s="4">
        <v>1799.98</v>
      </c>
      <c r="O165" s="9">
        <f t="shared" ca="1" si="12"/>
        <v>46106</v>
      </c>
      <c r="P165" s="10">
        <f t="shared" ca="1" si="13"/>
        <v>46106.913759606483</v>
      </c>
      <c r="Q165" s="11">
        <f t="shared" si="14"/>
        <v>40</v>
      </c>
      <c r="R165" s="11">
        <f t="shared" si="15"/>
        <v>31</v>
      </c>
      <c r="S165" s="13" t="str">
        <f t="shared" si="11"/>
        <v>normal</v>
      </c>
    </row>
    <row r="166" spans="1:19" ht="15.75" customHeight="1" x14ac:dyDescent="0.45">
      <c r="A166" s="4" t="s">
        <v>311</v>
      </c>
      <c r="B166" s="5">
        <v>45641</v>
      </c>
      <c r="C166" s="4" t="s">
        <v>184</v>
      </c>
      <c r="D166" s="4" t="s">
        <v>185</v>
      </c>
      <c r="E166" s="4" t="s">
        <v>46</v>
      </c>
      <c r="F166" s="4" t="s">
        <v>47</v>
      </c>
      <c r="G166" s="4" t="s">
        <v>48</v>
      </c>
      <c r="H166" s="4">
        <v>1</v>
      </c>
      <c r="I166" s="4">
        <v>149.99</v>
      </c>
      <c r="J166" s="4" t="s">
        <v>59</v>
      </c>
      <c r="K166" s="4" t="s">
        <v>65</v>
      </c>
      <c r="L166" s="4" t="s">
        <v>38</v>
      </c>
      <c r="M166" s="5">
        <v>45200</v>
      </c>
      <c r="N166" s="4">
        <v>149.99</v>
      </c>
      <c r="O166" s="9">
        <f t="shared" ca="1" si="12"/>
        <v>46106</v>
      </c>
      <c r="P166" s="10">
        <f t="shared" ca="1" si="13"/>
        <v>46106.913759606483</v>
      </c>
      <c r="Q166" s="11">
        <f t="shared" si="14"/>
        <v>14</v>
      </c>
      <c r="R166" s="11">
        <f t="shared" si="15"/>
        <v>31</v>
      </c>
      <c r="S166" s="13" t="str">
        <f t="shared" si="11"/>
        <v>normal</v>
      </c>
    </row>
    <row r="167" spans="1:19" ht="15.75" customHeight="1" x14ac:dyDescent="0.45">
      <c r="A167" s="4" t="s">
        <v>312</v>
      </c>
      <c r="B167" s="5">
        <v>45641</v>
      </c>
      <c r="C167" s="4" t="s">
        <v>140</v>
      </c>
      <c r="D167" s="4" t="s">
        <v>141</v>
      </c>
      <c r="E167" s="4" t="s">
        <v>107</v>
      </c>
      <c r="F167" s="4" t="s">
        <v>108</v>
      </c>
      <c r="G167" s="4" t="s">
        <v>48</v>
      </c>
      <c r="H167" s="4">
        <v>2</v>
      </c>
      <c r="I167" s="4">
        <v>299.99</v>
      </c>
      <c r="J167" s="4" t="s">
        <v>22</v>
      </c>
      <c r="K167" s="4" t="s">
        <v>65</v>
      </c>
      <c r="L167" s="4" t="s">
        <v>29</v>
      </c>
      <c r="M167" s="5">
        <v>44724</v>
      </c>
      <c r="N167" s="4">
        <v>599.98</v>
      </c>
      <c r="O167" s="9">
        <f t="shared" ca="1" si="12"/>
        <v>46106</v>
      </c>
      <c r="P167" s="10">
        <f t="shared" ca="1" si="13"/>
        <v>46106.913759606483</v>
      </c>
      <c r="Q167" s="11">
        <f t="shared" si="14"/>
        <v>30</v>
      </c>
      <c r="R167" s="11">
        <f t="shared" si="15"/>
        <v>31</v>
      </c>
      <c r="S167" s="13" t="str">
        <f t="shared" si="11"/>
        <v>normal</v>
      </c>
    </row>
    <row r="168" spans="1:19" ht="15.75" customHeight="1" x14ac:dyDescent="0.45">
      <c r="A168" s="4" t="s">
        <v>313</v>
      </c>
      <c r="B168" s="5">
        <v>45644</v>
      </c>
      <c r="C168" s="4" t="s">
        <v>134</v>
      </c>
      <c r="D168" s="4" t="s">
        <v>135</v>
      </c>
      <c r="E168" s="4" t="s">
        <v>33</v>
      </c>
      <c r="F168" s="4" t="s">
        <v>34</v>
      </c>
      <c r="G168" s="4" t="s">
        <v>35</v>
      </c>
      <c r="H168" s="4">
        <v>2</v>
      </c>
      <c r="I168" s="4">
        <v>59.99</v>
      </c>
      <c r="J168" s="4" t="s">
        <v>22</v>
      </c>
      <c r="K168" s="4" t="s">
        <v>52</v>
      </c>
      <c r="L168" s="4" t="s">
        <v>24</v>
      </c>
      <c r="M168" s="5">
        <v>45191</v>
      </c>
      <c r="N168" s="4">
        <v>119.98</v>
      </c>
      <c r="O168" s="9">
        <f t="shared" ca="1" si="12"/>
        <v>46106</v>
      </c>
      <c r="P168" s="10">
        <f t="shared" ca="1" si="13"/>
        <v>46106.913759606483</v>
      </c>
      <c r="Q168" s="11">
        <f t="shared" si="14"/>
        <v>14</v>
      </c>
      <c r="R168" s="11">
        <f t="shared" si="15"/>
        <v>31</v>
      </c>
      <c r="S168" s="13" t="str">
        <f t="shared" si="11"/>
        <v>normal</v>
      </c>
    </row>
    <row r="169" spans="1:19" ht="15.75" customHeight="1" x14ac:dyDescent="0.45">
      <c r="A169" s="4" t="s">
        <v>314</v>
      </c>
      <c r="B169" s="5">
        <v>45645</v>
      </c>
      <c r="C169" s="4" t="s">
        <v>184</v>
      </c>
      <c r="D169" s="4" t="s">
        <v>185</v>
      </c>
      <c r="E169" s="4" t="s">
        <v>119</v>
      </c>
      <c r="F169" s="4" t="s">
        <v>120</v>
      </c>
      <c r="G169" s="4" t="s">
        <v>21</v>
      </c>
      <c r="H169" s="4">
        <v>1</v>
      </c>
      <c r="I169" s="4">
        <v>89.99</v>
      </c>
      <c r="J169" s="4" t="s">
        <v>59</v>
      </c>
      <c r="K169" s="4" t="s">
        <v>23</v>
      </c>
      <c r="L169" s="4" t="s">
        <v>38</v>
      </c>
      <c r="M169" s="5">
        <v>44760</v>
      </c>
      <c r="N169" s="4">
        <v>89.99</v>
      </c>
      <c r="O169" s="9">
        <f t="shared" ca="1" si="12"/>
        <v>46106</v>
      </c>
      <c r="P169" s="10">
        <f t="shared" ca="1" si="13"/>
        <v>46106.913759606483</v>
      </c>
      <c r="Q169" s="11">
        <f t="shared" si="14"/>
        <v>29</v>
      </c>
      <c r="R169" s="11">
        <f t="shared" si="15"/>
        <v>31</v>
      </c>
      <c r="S169" s="13" t="str">
        <f t="shared" si="11"/>
        <v>normal</v>
      </c>
    </row>
    <row r="170" spans="1:19" ht="15.75" customHeight="1" x14ac:dyDescent="0.45">
      <c r="A170" s="4" t="s">
        <v>315</v>
      </c>
      <c r="B170" s="5">
        <v>45645</v>
      </c>
      <c r="C170" s="4" t="s">
        <v>149</v>
      </c>
      <c r="D170" s="4" t="s">
        <v>150</v>
      </c>
      <c r="E170" s="4" t="s">
        <v>63</v>
      </c>
      <c r="F170" s="4" t="s">
        <v>64</v>
      </c>
      <c r="G170" s="4" t="s">
        <v>21</v>
      </c>
      <c r="H170" s="4">
        <v>5</v>
      </c>
      <c r="I170" s="4">
        <v>899.99</v>
      </c>
      <c r="J170" s="4" t="s">
        <v>59</v>
      </c>
      <c r="K170" s="4" t="s">
        <v>65</v>
      </c>
      <c r="L170" s="4" t="s">
        <v>38</v>
      </c>
      <c r="M170" s="5">
        <v>44625</v>
      </c>
      <c r="N170" s="4">
        <v>4499.95</v>
      </c>
      <c r="O170" s="9">
        <f t="shared" ca="1" si="12"/>
        <v>46106</v>
      </c>
      <c r="P170" s="10">
        <f t="shared" ca="1" si="13"/>
        <v>46106.913759606483</v>
      </c>
      <c r="Q170" s="11">
        <f t="shared" si="14"/>
        <v>33</v>
      </c>
      <c r="R170" s="11">
        <f t="shared" si="15"/>
        <v>31</v>
      </c>
      <c r="S170" s="13" t="str">
        <f t="shared" si="11"/>
        <v>high-value</v>
      </c>
    </row>
    <row r="171" spans="1:19" ht="15.75" customHeight="1" x14ac:dyDescent="0.45">
      <c r="A171" s="4" t="s">
        <v>316</v>
      </c>
      <c r="B171" s="5">
        <v>45646</v>
      </c>
      <c r="C171" s="4" t="s">
        <v>44</v>
      </c>
      <c r="D171" s="4" t="s">
        <v>45</v>
      </c>
      <c r="E171" s="4" t="s">
        <v>46</v>
      </c>
      <c r="F171" s="4" t="s">
        <v>47</v>
      </c>
      <c r="G171" s="4" t="s">
        <v>48</v>
      </c>
      <c r="H171" s="4">
        <v>2</v>
      </c>
      <c r="I171" s="4">
        <v>149.99</v>
      </c>
      <c r="J171" s="4" t="s">
        <v>22</v>
      </c>
      <c r="K171" s="4" t="s">
        <v>37</v>
      </c>
      <c r="L171" s="4" t="s">
        <v>24</v>
      </c>
      <c r="M171" s="5">
        <v>45239</v>
      </c>
      <c r="N171" s="4">
        <v>299.98</v>
      </c>
      <c r="O171" s="9">
        <f t="shared" ca="1" si="12"/>
        <v>46106</v>
      </c>
      <c r="P171" s="10">
        <f t="shared" ca="1" si="13"/>
        <v>46106.913759606483</v>
      </c>
      <c r="Q171" s="11">
        <f t="shared" si="14"/>
        <v>13</v>
      </c>
      <c r="R171" s="11">
        <f t="shared" si="15"/>
        <v>31</v>
      </c>
      <c r="S171" s="13" t="str">
        <f t="shared" si="11"/>
        <v>normal</v>
      </c>
    </row>
    <row r="172" spans="1:19" ht="15.75" customHeight="1" x14ac:dyDescent="0.45">
      <c r="A172" s="4" t="s">
        <v>317</v>
      </c>
      <c r="B172" s="5">
        <v>45648</v>
      </c>
      <c r="C172" s="4" t="s">
        <v>114</v>
      </c>
      <c r="D172" s="4" t="s">
        <v>115</v>
      </c>
      <c r="E172" s="4" t="s">
        <v>54</v>
      </c>
      <c r="F172" s="4" t="s">
        <v>55</v>
      </c>
      <c r="G172" s="4" t="s">
        <v>21</v>
      </c>
      <c r="H172" s="4">
        <v>2</v>
      </c>
      <c r="I172" s="4">
        <v>149.99</v>
      </c>
      <c r="J172" s="4" t="s">
        <v>59</v>
      </c>
      <c r="K172" s="4" t="s">
        <v>52</v>
      </c>
      <c r="L172" s="4" t="s">
        <v>29</v>
      </c>
      <c r="M172" s="5">
        <v>45280</v>
      </c>
      <c r="N172" s="4">
        <v>299.98</v>
      </c>
      <c r="O172" s="9">
        <f t="shared" ca="1" si="12"/>
        <v>46106</v>
      </c>
      <c r="P172" s="10">
        <f t="shared" ca="1" si="13"/>
        <v>46106.913759606483</v>
      </c>
      <c r="Q172" s="11">
        <f t="shared" si="14"/>
        <v>12</v>
      </c>
      <c r="R172" s="11">
        <f t="shared" si="15"/>
        <v>31</v>
      </c>
      <c r="S172" s="13" t="str">
        <f t="shared" si="11"/>
        <v>normal</v>
      </c>
    </row>
    <row r="173" spans="1:19" ht="15.75" customHeight="1" x14ac:dyDescent="0.45">
      <c r="A173" s="4" t="s">
        <v>318</v>
      </c>
      <c r="B173" s="5">
        <v>45648</v>
      </c>
      <c r="C173" s="4" t="s">
        <v>184</v>
      </c>
      <c r="D173" s="4" t="s">
        <v>185</v>
      </c>
      <c r="E173" s="4" t="s">
        <v>46</v>
      </c>
      <c r="F173" s="4" t="s">
        <v>47</v>
      </c>
      <c r="G173" s="4" t="s">
        <v>48</v>
      </c>
      <c r="H173" s="4">
        <v>3</v>
      </c>
      <c r="I173" s="4">
        <v>149.99</v>
      </c>
      <c r="J173" s="4" t="s">
        <v>59</v>
      </c>
      <c r="K173" s="4" t="s">
        <v>42</v>
      </c>
      <c r="L173" s="4" t="s">
        <v>38</v>
      </c>
      <c r="M173" s="5">
        <v>44522</v>
      </c>
      <c r="N173" s="4">
        <v>449.97</v>
      </c>
      <c r="O173" s="9">
        <f t="shared" ca="1" si="12"/>
        <v>46106</v>
      </c>
      <c r="P173" s="10">
        <f t="shared" ca="1" si="13"/>
        <v>46106.913759606483</v>
      </c>
      <c r="Q173" s="11">
        <f t="shared" si="14"/>
        <v>37</v>
      </c>
      <c r="R173" s="11">
        <f t="shared" si="15"/>
        <v>31</v>
      </c>
      <c r="S173" s="13" t="str">
        <f t="shared" si="11"/>
        <v>normal</v>
      </c>
    </row>
    <row r="174" spans="1:19" ht="15.75" customHeight="1" x14ac:dyDescent="0.45">
      <c r="A174" s="4" t="s">
        <v>319</v>
      </c>
      <c r="B174" s="5">
        <v>45649</v>
      </c>
      <c r="C174" s="4" t="s">
        <v>31</v>
      </c>
      <c r="D174" s="4" t="s">
        <v>32</v>
      </c>
      <c r="E174" s="4" t="s">
        <v>107</v>
      </c>
      <c r="F174" s="4" t="s">
        <v>108</v>
      </c>
      <c r="G174" s="4" t="s">
        <v>48</v>
      </c>
      <c r="H174" s="4">
        <v>2</v>
      </c>
      <c r="I174" s="4">
        <v>299.99</v>
      </c>
      <c r="J174" s="4" t="s">
        <v>36</v>
      </c>
      <c r="K174" s="4" t="s">
        <v>37</v>
      </c>
      <c r="L174" s="4" t="s">
        <v>24</v>
      </c>
      <c r="M174" s="5">
        <v>44721</v>
      </c>
      <c r="N174" s="4">
        <v>599.98</v>
      </c>
      <c r="O174" s="9">
        <f t="shared" ca="1" si="12"/>
        <v>46106</v>
      </c>
      <c r="P174" s="10">
        <f t="shared" ca="1" si="13"/>
        <v>46106.913759606483</v>
      </c>
      <c r="Q174" s="11">
        <f t="shared" si="14"/>
        <v>30</v>
      </c>
      <c r="R174" s="11">
        <f t="shared" si="15"/>
        <v>31</v>
      </c>
      <c r="S174" s="13" t="str">
        <f t="shared" si="11"/>
        <v>normal</v>
      </c>
    </row>
    <row r="175" spans="1:19" ht="15.75" customHeight="1" x14ac:dyDescent="0.45">
      <c r="A175" s="4" t="s">
        <v>320</v>
      </c>
      <c r="B175" s="5">
        <v>45654</v>
      </c>
      <c r="C175" s="4" t="s">
        <v>44</v>
      </c>
      <c r="D175" s="4" t="s">
        <v>45</v>
      </c>
      <c r="E175" s="4" t="s">
        <v>107</v>
      </c>
      <c r="F175" s="4" t="s">
        <v>108</v>
      </c>
      <c r="G175" s="4" t="s">
        <v>48</v>
      </c>
      <c r="H175" s="4">
        <v>2</v>
      </c>
      <c r="I175" s="4">
        <v>299.99</v>
      </c>
      <c r="J175" s="4" t="s">
        <v>22</v>
      </c>
      <c r="K175" s="4" t="s">
        <v>52</v>
      </c>
      <c r="L175" s="4" t="s">
        <v>24</v>
      </c>
      <c r="M175" s="5">
        <v>44771</v>
      </c>
      <c r="N175" s="4">
        <v>599.98</v>
      </c>
      <c r="O175" s="9">
        <f t="shared" ca="1" si="12"/>
        <v>46106</v>
      </c>
      <c r="P175" s="10">
        <f t="shared" ca="1" si="13"/>
        <v>46106.913759606483</v>
      </c>
      <c r="Q175" s="11">
        <f t="shared" si="14"/>
        <v>28</v>
      </c>
      <c r="R175" s="11">
        <f t="shared" si="15"/>
        <v>31</v>
      </c>
      <c r="S175" s="13" t="str">
        <f t="shared" si="11"/>
        <v>normal</v>
      </c>
    </row>
    <row r="176" spans="1:19" ht="15.75" customHeight="1" x14ac:dyDescent="0.45">
      <c r="A176" s="4" t="s">
        <v>321</v>
      </c>
      <c r="B176" s="5">
        <v>45654</v>
      </c>
      <c r="C176" s="4" t="s">
        <v>122</v>
      </c>
      <c r="D176" s="4" t="s">
        <v>123</v>
      </c>
      <c r="E176" s="4" t="s">
        <v>128</v>
      </c>
      <c r="F176" s="4" t="s">
        <v>129</v>
      </c>
      <c r="G176" s="4" t="s">
        <v>48</v>
      </c>
      <c r="H176" s="4">
        <v>4</v>
      </c>
      <c r="I176" s="4">
        <v>199.99</v>
      </c>
      <c r="J176" s="4" t="s">
        <v>28</v>
      </c>
      <c r="K176" s="4" t="s">
        <v>23</v>
      </c>
      <c r="L176" s="4" t="s">
        <v>24</v>
      </c>
      <c r="M176" s="5">
        <v>44523</v>
      </c>
      <c r="N176" s="4">
        <v>799.96</v>
      </c>
      <c r="O176" s="9">
        <f t="shared" ca="1" si="12"/>
        <v>46106</v>
      </c>
      <c r="P176" s="10">
        <f t="shared" ca="1" si="13"/>
        <v>46106.913759606483</v>
      </c>
      <c r="Q176" s="11">
        <f t="shared" si="14"/>
        <v>37</v>
      </c>
      <c r="R176" s="11">
        <f t="shared" si="15"/>
        <v>31</v>
      </c>
      <c r="S176" s="13" t="str">
        <f t="shared" si="11"/>
        <v>normal</v>
      </c>
    </row>
    <row r="177" spans="1:19" ht="15.75" customHeight="1" x14ac:dyDescent="0.45">
      <c r="A177" s="4" t="s">
        <v>322</v>
      </c>
      <c r="B177" s="5">
        <v>45655</v>
      </c>
      <c r="C177" s="4" t="s">
        <v>61</v>
      </c>
      <c r="D177" s="4" t="s">
        <v>62</v>
      </c>
      <c r="E177" s="4" t="s">
        <v>119</v>
      </c>
      <c r="F177" s="4" t="s">
        <v>120</v>
      </c>
      <c r="G177" s="4" t="s">
        <v>21</v>
      </c>
      <c r="H177" s="4">
        <v>1</v>
      </c>
      <c r="I177" s="4">
        <v>89.99</v>
      </c>
      <c r="J177" s="4" t="s">
        <v>28</v>
      </c>
      <c r="K177" s="4" t="s">
        <v>37</v>
      </c>
      <c r="L177" s="4" t="s">
        <v>29</v>
      </c>
      <c r="M177" s="5">
        <v>44591</v>
      </c>
      <c r="N177" s="4">
        <v>89.99</v>
      </c>
      <c r="O177" s="9">
        <f t="shared" ca="1" si="12"/>
        <v>46106</v>
      </c>
      <c r="P177" s="10">
        <f t="shared" ca="1" si="13"/>
        <v>46106.913759606483</v>
      </c>
      <c r="Q177" s="11">
        <f t="shared" si="14"/>
        <v>34</v>
      </c>
      <c r="R177" s="11">
        <f t="shared" si="15"/>
        <v>31</v>
      </c>
      <c r="S177" s="13" t="str">
        <f t="shared" si="11"/>
        <v>normal</v>
      </c>
    </row>
    <row r="178" spans="1:19" ht="15.75" customHeight="1" x14ac:dyDescent="0.45">
      <c r="A178" s="4" t="s">
        <v>323</v>
      </c>
      <c r="B178" s="5">
        <v>45655</v>
      </c>
      <c r="C178" s="4" t="s">
        <v>110</v>
      </c>
      <c r="D178" s="4" t="s">
        <v>111</v>
      </c>
      <c r="E178" s="4" t="s">
        <v>46</v>
      </c>
      <c r="F178" s="4" t="s">
        <v>47</v>
      </c>
      <c r="G178" s="4" t="s">
        <v>48</v>
      </c>
      <c r="H178" s="4">
        <v>5</v>
      </c>
      <c r="I178" s="4">
        <v>149.99</v>
      </c>
      <c r="J178" s="4" t="s">
        <v>22</v>
      </c>
      <c r="K178" s="4" t="s">
        <v>23</v>
      </c>
      <c r="L178" s="4" t="s">
        <v>29</v>
      </c>
      <c r="M178" s="5">
        <v>45347</v>
      </c>
      <c r="N178" s="4">
        <v>749.95</v>
      </c>
      <c r="O178" s="9">
        <f t="shared" ca="1" si="12"/>
        <v>46106</v>
      </c>
      <c r="P178" s="10">
        <f t="shared" ca="1" si="13"/>
        <v>46106.913759606483</v>
      </c>
      <c r="Q178" s="11">
        <f t="shared" si="14"/>
        <v>10</v>
      </c>
      <c r="R178" s="11">
        <f t="shared" si="15"/>
        <v>31</v>
      </c>
      <c r="S178" s="13" t="str">
        <f t="shared" si="11"/>
        <v>normal</v>
      </c>
    </row>
    <row r="179" spans="1:19" ht="15.75" customHeight="1" x14ac:dyDescent="0.45">
      <c r="A179" s="4" t="s">
        <v>324</v>
      </c>
      <c r="B179" s="5">
        <v>45657</v>
      </c>
      <c r="C179" s="4" t="s">
        <v>88</v>
      </c>
      <c r="D179" s="4" t="s">
        <v>89</v>
      </c>
      <c r="E179" s="4" t="s">
        <v>63</v>
      </c>
      <c r="F179" s="4" t="s">
        <v>64</v>
      </c>
      <c r="G179" s="4" t="s">
        <v>21</v>
      </c>
      <c r="H179" s="4">
        <v>1</v>
      </c>
      <c r="I179" s="4">
        <v>899.99</v>
      </c>
      <c r="J179" s="4" t="s">
        <v>36</v>
      </c>
      <c r="K179" s="4" t="s">
        <v>42</v>
      </c>
      <c r="L179" s="4" t="s">
        <v>29</v>
      </c>
      <c r="M179" s="5">
        <v>45050</v>
      </c>
      <c r="N179" s="4">
        <v>899.99</v>
      </c>
      <c r="O179" s="9">
        <f t="shared" ca="1" si="12"/>
        <v>46106</v>
      </c>
      <c r="P179" s="10">
        <f t="shared" ca="1" si="13"/>
        <v>46106.913759606483</v>
      </c>
      <c r="Q179" s="11">
        <f t="shared" si="14"/>
        <v>19</v>
      </c>
      <c r="R179" s="11">
        <f t="shared" si="15"/>
        <v>31</v>
      </c>
      <c r="S179" s="13" t="str">
        <f t="shared" si="11"/>
        <v>normal</v>
      </c>
    </row>
    <row r="180" spans="1:19" ht="15.75" customHeight="1" x14ac:dyDescent="0.45">
      <c r="A180" s="4" t="s">
        <v>325</v>
      </c>
      <c r="B180" s="5">
        <v>45660</v>
      </c>
      <c r="C180" s="4" t="s">
        <v>149</v>
      </c>
      <c r="D180" s="4" t="s">
        <v>150</v>
      </c>
      <c r="E180" s="4" t="s">
        <v>119</v>
      </c>
      <c r="F180" s="4" t="s">
        <v>120</v>
      </c>
      <c r="G180" s="4" t="s">
        <v>21</v>
      </c>
      <c r="H180" s="4">
        <v>2</v>
      </c>
      <c r="I180" s="4">
        <v>89.99</v>
      </c>
      <c r="J180" s="4" t="s">
        <v>28</v>
      </c>
      <c r="K180" s="4" t="s">
        <v>37</v>
      </c>
      <c r="L180" s="4" t="s">
        <v>29</v>
      </c>
      <c r="M180" s="5">
        <v>44564</v>
      </c>
      <c r="N180" s="4">
        <v>179.98</v>
      </c>
      <c r="O180" s="9">
        <f t="shared" ca="1" si="12"/>
        <v>46106</v>
      </c>
      <c r="P180" s="10">
        <f t="shared" ca="1" si="13"/>
        <v>46106.913759606483</v>
      </c>
      <c r="Q180" s="11">
        <f t="shared" si="14"/>
        <v>36</v>
      </c>
      <c r="R180" s="11">
        <f t="shared" si="15"/>
        <v>31</v>
      </c>
      <c r="S180" s="13" t="str">
        <f t="shared" si="11"/>
        <v>normal</v>
      </c>
    </row>
    <row r="181" spans="1:19" ht="15.75" customHeight="1" x14ac:dyDescent="0.45">
      <c r="A181" s="4" t="s">
        <v>326</v>
      </c>
      <c r="B181" s="5">
        <v>45661</v>
      </c>
      <c r="C181" s="4" t="s">
        <v>327</v>
      </c>
      <c r="D181" s="4" t="s">
        <v>328</v>
      </c>
      <c r="E181" s="4" t="s">
        <v>63</v>
      </c>
      <c r="F181" s="4" t="s">
        <v>64</v>
      </c>
      <c r="G181" s="4" t="s">
        <v>21</v>
      </c>
      <c r="H181" s="4">
        <v>1</v>
      </c>
      <c r="I181" s="4">
        <v>899.99</v>
      </c>
      <c r="J181" s="4" t="s">
        <v>36</v>
      </c>
      <c r="K181" s="4" t="s">
        <v>42</v>
      </c>
      <c r="L181" s="4" t="s">
        <v>38</v>
      </c>
      <c r="M181" s="5">
        <v>44752</v>
      </c>
      <c r="N181" s="4">
        <v>899.99</v>
      </c>
      <c r="O181" s="9">
        <f t="shared" ca="1" si="12"/>
        <v>46106</v>
      </c>
      <c r="P181" s="10">
        <f t="shared" ca="1" si="13"/>
        <v>46106.913759606483</v>
      </c>
      <c r="Q181" s="11">
        <f t="shared" si="14"/>
        <v>29</v>
      </c>
      <c r="R181" s="11">
        <f t="shared" si="15"/>
        <v>31</v>
      </c>
      <c r="S181" s="13" t="str">
        <f t="shared" si="11"/>
        <v>normal</v>
      </c>
    </row>
    <row r="182" spans="1:19" ht="15.75" customHeight="1" x14ac:dyDescent="0.45">
      <c r="A182" s="4" t="s">
        <v>329</v>
      </c>
      <c r="B182" s="5">
        <v>45663</v>
      </c>
      <c r="C182" s="4" t="s">
        <v>131</v>
      </c>
      <c r="D182" s="4" t="s">
        <v>132</v>
      </c>
      <c r="E182" s="4" t="s">
        <v>54</v>
      </c>
      <c r="F182" s="4" t="s">
        <v>55</v>
      </c>
      <c r="G182" s="4" t="s">
        <v>21</v>
      </c>
      <c r="H182" s="4">
        <v>5</v>
      </c>
      <c r="I182" s="4">
        <v>149.99</v>
      </c>
      <c r="J182" s="4" t="s">
        <v>36</v>
      </c>
      <c r="K182" s="4" t="s">
        <v>65</v>
      </c>
      <c r="L182" s="4" t="s">
        <v>29</v>
      </c>
      <c r="M182" s="5">
        <v>44824</v>
      </c>
      <c r="N182" s="4">
        <v>749.95</v>
      </c>
      <c r="O182" s="9">
        <f t="shared" ca="1" si="12"/>
        <v>46106</v>
      </c>
      <c r="P182" s="10">
        <f t="shared" ca="1" si="13"/>
        <v>46106.913759606483</v>
      </c>
      <c r="Q182" s="11">
        <f t="shared" si="14"/>
        <v>27</v>
      </c>
      <c r="R182" s="11">
        <f t="shared" si="15"/>
        <v>31</v>
      </c>
      <c r="S182" s="13" t="str">
        <f t="shared" si="11"/>
        <v>normal</v>
      </c>
    </row>
    <row r="183" spans="1:19" ht="15.75" customHeight="1" x14ac:dyDescent="0.45">
      <c r="A183" s="4" t="s">
        <v>330</v>
      </c>
      <c r="B183" s="5">
        <v>45663</v>
      </c>
      <c r="C183" s="4" t="s">
        <v>44</v>
      </c>
      <c r="D183" s="4" t="s">
        <v>45</v>
      </c>
      <c r="E183" s="4" t="s">
        <v>107</v>
      </c>
      <c r="F183" s="4" t="s">
        <v>108</v>
      </c>
      <c r="G183" s="4" t="s">
        <v>48</v>
      </c>
      <c r="H183" s="4">
        <v>3</v>
      </c>
      <c r="I183" s="4">
        <v>299.99</v>
      </c>
      <c r="J183" s="4" t="s">
        <v>22</v>
      </c>
      <c r="K183" s="4" t="s">
        <v>37</v>
      </c>
      <c r="L183" s="4" t="s">
        <v>38</v>
      </c>
      <c r="M183" s="5">
        <v>44422</v>
      </c>
      <c r="N183" s="4">
        <v>899.97</v>
      </c>
      <c r="O183" s="9">
        <f t="shared" ca="1" si="12"/>
        <v>46106</v>
      </c>
      <c r="P183" s="10">
        <f t="shared" ca="1" si="13"/>
        <v>46106.913759606483</v>
      </c>
      <c r="Q183" s="11">
        <f t="shared" si="14"/>
        <v>40</v>
      </c>
      <c r="R183" s="11">
        <f t="shared" si="15"/>
        <v>31</v>
      </c>
      <c r="S183" s="13" t="str">
        <f t="shared" si="11"/>
        <v>normal</v>
      </c>
    </row>
    <row r="184" spans="1:19" ht="15.75" customHeight="1" x14ac:dyDescent="0.45">
      <c r="A184" s="4" t="s">
        <v>331</v>
      </c>
      <c r="B184" s="5">
        <v>45666</v>
      </c>
      <c r="C184" s="4" t="s">
        <v>67</v>
      </c>
      <c r="D184" s="4" t="s">
        <v>68</v>
      </c>
      <c r="E184" s="4" t="s">
        <v>82</v>
      </c>
      <c r="F184" s="4" t="s">
        <v>83</v>
      </c>
      <c r="G184" s="4" t="s">
        <v>21</v>
      </c>
      <c r="H184" s="4">
        <v>3</v>
      </c>
      <c r="I184" s="4">
        <v>699.99</v>
      </c>
      <c r="J184" s="4" t="s">
        <v>28</v>
      </c>
      <c r="K184" s="4" t="s">
        <v>23</v>
      </c>
      <c r="L184" s="4" t="s">
        <v>29</v>
      </c>
      <c r="M184" s="5">
        <v>45105</v>
      </c>
      <c r="N184" s="4">
        <v>2099.9699999999998</v>
      </c>
      <c r="O184" s="9">
        <f t="shared" ca="1" si="12"/>
        <v>46106</v>
      </c>
      <c r="P184" s="10">
        <f t="shared" ca="1" si="13"/>
        <v>46106.913759606483</v>
      </c>
      <c r="Q184" s="11">
        <f t="shared" si="14"/>
        <v>18</v>
      </c>
      <c r="R184" s="11">
        <f t="shared" si="15"/>
        <v>31</v>
      </c>
      <c r="S184" s="13" t="str">
        <f t="shared" si="11"/>
        <v>high-value</v>
      </c>
    </row>
    <row r="185" spans="1:19" ht="15.75" customHeight="1" x14ac:dyDescent="0.45">
      <c r="A185" s="4" t="s">
        <v>332</v>
      </c>
      <c r="B185" s="5">
        <v>45667</v>
      </c>
      <c r="C185" s="4" t="s">
        <v>110</v>
      </c>
      <c r="D185" s="4" t="s">
        <v>111</v>
      </c>
      <c r="E185" s="4" t="s">
        <v>128</v>
      </c>
      <c r="F185" s="4" t="s">
        <v>129</v>
      </c>
      <c r="G185" s="4" t="s">
        <v>48</v>
      </c>
      <c r="H185" s="4">
        <v>5</v>
      </c>
      <c r="I185" s="4">
        <v>199.99</v>
      </c>
      <c r="J185" s="4" t="s">
        <v>36</v>
      </c>
      <c r="K185" s="4" t="s">
        <v>23</v>
      </c>
      <c r="L185" s="4" t="s">
        <v>38</v>
      </c>
      <c r="M185" s="5">
        <v>44633</v>
      </c>
      <c r="N185" s="4">
        <v>999.95</v>
      </c>
      <c r="O185" s="9">
        <f t="shared" ca="1" si="12"/>
        <v>46106</v>
      </c>
      <c r="P185" s="10">
        <f t="shared" ca="1" si="13"/>
        <v>46106.913759606483</v>
      </c>
      <c r="Q185" s="11">
        <f t="shared" si="14"/>
        <v>33</v>
      </c>
      <c r="R185" s="11">
        <f t="shared" si="15"/>
        <v>31</v>
      </c>
      <c r="S185" s="13" t="str">
        <f t="shared" si="11"/>
        <v>normal</v>
      </c>
    </row>
    <row r="186" spans="1:19" ht="15.75" customHeight="1" x14ac:dyDescent="0.45">
      <c r="A186" s="4" t="s">
        <v>333</v>
      </c>
      <c r="B186" s="5">
        <v>45667</v>
      </c>
      <c r="C186" s="4" t="s">
        <v>95</v>
      </c>
      <c r="D186" s="4" t="s">
        <v>96</v>
      </c>
      <c r="E186" s="4" t="s">
        <v>19</v>
      </c>
      <c r="F186" s="4" t="s">
        <v>20</v>
      </c>
      <c r="G186" s="4" t="s">
        <v>21</v>
      </c>
      <c r="H186" s="4">
        <v>5</v>
      </c>
      <c r="I186" s="4">
        <v>249.99</v>
      </c>
      <c r="J186" s="4" t="s">
        <v>28</v>
      </c>
      <c r="K186" s="4" t="s">
        <v>37</v>
      </c>
      <c r="L186" s="4" t="s">
        <v>24</v>
      </c>
      <c r="M186" s="5">
        <v>45330</v>
      </c>
      <c r="N186" s="4">
        <v>1249.95</v>
      </c>
      <c r="O186" s="9">
        <f t="shared" ca="1" si="12"/>
        <v>46106</v>
      </c>
      <c r="P186" s="10">
        <f t="shared" ca="1" si="13"/>
        <v>46106.913759606483</v>
      </c>
      <c r="Q186" s="11">
        <f t="shared" si="14"/>
        <v>11</v>
      </c>
      <c r="R186" s="11">
        <f t="shared" si="15"/>
        <v>31</v>
      </c>
      <c r="S186" s="13" t="str">
        <f t="shared" si="11"/>
        <v>normal</v>
      </c>
    </row>
    <row r="187" spans="1:19" ht="15.75" customHeight="1" x14ac:dyDescent="0.45">
      <c r="A187" s="4" t="s">
        <v>334</v>
      </c>
      <c r="B187" s="5">
        <v>45668</v>
      </c>
      <c r="C187" s="4" t="s">
        <v>140</v>
      </c>
      <c r="D187" s="4" t="s">
        <v>141</v>
      </c>
      <c r="E187" s="4" t="s">
        <v>54</v>
      </c>
      <c r="F187" s="4" t="s">
        <v>55</v>
      </c>
      <c r="G187" s="4" t="s">
        <v>21</v>
      </c>
      <c r="H187" s="4">
        <v>4</v>
      </c>
      <c r="I187" s="4">
        <v>149.99</v>
      </c>
      <c r="J187" s="4" t="s">
        <v>59</v>
      </c>
      <c r="K187" s="4" t="s">
        <v>65</v>
      </c>
      <c r="L187" s="4" t="s">
        <v>38</v>
      </c>
      <c r="M187" s="5">
        <v>44536</v>
      </c>
      <c r="N187" s="4">
        <v>599.96</v>
      </c>
      <c r="O187" s="9">
        <f t="shared" ca="1" si="12"/>
        <v>46106</v>
      </c>
      <c r="P187" s="10">
        <f t="shared" ca="1" si="13"/>
        <v>46106.913759606483</v>
      </c>
      <c r="Q187" s="11">
        <f t="shared" si="14"/>
        <v>37</v>
      </c>
      <c r="R187" s="11">
        <f t="shared" si="15"/>
        <v>31</v>
      </c>
      <c r="S187" s="13" t="str">
        <f t="shared" si="11"/>
        <v>normal</v>
      </c>
    </row>
    <row r="188" spans="1:19" ht="15.75" customHeight="1" x14ac:dyDescent="0.45">
      <c r="A188" s="4" t="s">
        <v>335</v>
      </c>
      <c r="B188" s="5">
        <v>45668</v>
      </c>
      <c r="C188" s="4" t="s">
        <v>80</v>
      </c>
      <c r="D188" s="4" t="s">
        <v>81</v>
      </c>
      <c r="E188" s="4" t="s">
        <v>82</v>
      </c>
      <c r="F188" s="4" t="s">
        <v>83</v>
      </c>
      <c r="G188" s="4" t="s">
        <v>21</v>
      </c>
      <c r="H188" s="4">
        <v>3</v>
      </c>
      <c r="I188" s="4">
        <v>699.99</v>
      </c>
      <c r="J188" s="4" t="s">
        <v>22</v>
      </c>
      <c r="K188" s="4" t="s">
        <v>42</v>
      </c>
      <c r="L188" s="4" t="s">
        <v>29</v>
      </c>
      <c r="M188" s="5">
        <v>44602</v>
      </c>
      <c r="N188" s="4">
        <v>2099.9699999999998</v>
      </c>
      <c r="O188" s="9">
        <f t="shared" ca="1" si="12"/>
        <v>46106</v>
      </c>
      <c r="P188" s="10">
        <f t="shared" ca="1" si="13"/>
        <v>46106.913759606483</v>
      </c>
      <c r="Q188" s="11">
        <f t="shared" si="14"/>
        <v>35</v>
      </c>
      <c r="R188" s="11">
        <f t="shared" si="15"/>
        <v>31</v>
      </c>
      <c r="S188" s="13" t="str">
        <f t="shared" si="11"/>
        <v>high-value</v>
      </c>
    </row>
    <row r="189" spans="1:19" ht="15.75" customHeight="1" x14ac:dyDescent="0.45">
      <c r="A189" s="4" t="s">
        <v>336</v>
      </c>
      <c r="B189" s="5">
        <v>45670</v>
      </c>
      <c r="C189" s="4" t="s">
        <v>295</v>
      </c>
      <c r="D189" s="4" t="s">
        <v>296</v>
      </c>
      <c r="E189" s="4" t="s">
        <v>116</v>
      </c>
      <c r="F189" s="4" t="s">
        <v>117</v>
      </c>
      <c r="G189" s="4" t="s">
        <v>35</v>
      </c>
      <c r="H189" s="4">
        <v>1</v>
      </c>
      <c r="I189" s="4">
        <v>79.989999999999995</v>
      </c>
      <c r="J189" s="4" t="s">
        <v>28</v>
      </c>
      <c r="K189" s="4" t="s">
        <v>37</v>
      </c>
      <c r="L189" s="4" t="s">
        <v>24</v>
      </c>
      <c r="M189" s="5">
        <v>45322</v>
      </c>
      <c r="N189" s="4">
        <v>79.989999999999995</v>
      </c>
      <c r="O189" s="9">
        <f t="shared" ca="1" si="12"/>
        <v>46106</v>
      </c>
      <c r="P189" s="10">
        <f t="shared" ca="1" si="13"/>
        <v>46106.913759606483</v>
      </c>
      <c r="Q189" s="11">
        <f t="shared" si="14"/>
        <v>11</v>
      </c>
      <c r="R189" s="11">
        <f t="shared" si="15"/>
        <v>31</v>
      </c>
      <c r="S189" s="13" t="str">
        <f t="shared" si="11"/>
        <v>normal</v>
      </c>
    </row>
    <row r="190" spans="1:19" ht="15.75" customHeight="1" x14ac:dyDescent="0.45">
      <c r="A190" s="4" t="s">
        <v>337</v>
      </c>
      <c r="B190" s="5">
        <v>45670</v>
      </c>
      <c r="C190" s="4" t="s">
        <v>88</v>
      </c>
      <c r="D190" s="4" t="s">
        <v>89</v>
      </c>
      <c r="E190" s="4" t="s">
        <v>107</v>
      </c>
      <c r="F190" s="4" t="s">
        <v>108</v>
      </c>
      <c r="G190" s="4" t="s">
        <v>48</v>
      </c>
      <c r="H190" s="4">
        <v>1</v>
      </c>
      <c r="I190" s="4">
        <v>299.99</v>
      </c>
      <c r="J190" s="4" t="s">
        <v>28</v>
      </c>
      <c r="K190" s="4" t="s">
        <v>42</v>
      </c>
      <c r="L190" s="4" t="s">
        <v>24</v>
      </c>
      <c r="M190" s="5">
        <v>44436</v>
      </c>
      <c r="N190" s="4">
        <v>299.99</v>
      </c>
      <c r="O190" s="9">
        <f t="shared" ca="1" si="12"/>
        <v>46106</v>
      </c>
      <c r="P190" s="10">
        <f t="shared" ca="1" si="13"/>
        <v>46106.913759606483</v>
      </c>
      <c r="Q190" s="11">
        <f t="shared" si="14"/>
        <v>40</v>
      </c>
      <c r="R190" s="11">
        <f t="shared" si="15"/>
        <v>31</v>
      </c>
      <c r="S190" s="13" t="str">
        <f t="shared" si="11"/>
        <v>normal</v>
      </c>
    </row>
    <row r="191" spans="1:19" ht="15.75" customHeight="1" x14ac:dyDescent="0.45">
      <c r="A191" s="4" t="s">
        <v>338</v>
      </c>
      <c r="B191" s="5">
        <v>45671</v>
      </c>
      <c r="C191" s="4" t="s">
        <v>160</v>
      </c>
      <c r="D191" s="4" t="s">
        <v>161</v>
      </c>
      <c r="E191" s="4" t="s">
        <v>19</v>
      </c>
      <c r="F191" s="4" t="s">
        <v>20</v>
      </c>
      <c r="G191" s="4" t="s">
        <v>21</v>
      </c>
      <c r="H191" s="4">
        <v>4</v>
      </c>
      <c r="I191" s="4">
        <v>249.99</v>
      </c>
      <c r="J191" s="4" t="s">
        <v>28</v>
      </c>
      <c r="K191" s="4" t="s">
        <v>42</v>
      </c>
      <c r="L191" s="4" t="s">
        <v>29</v>
      </c>
      <c r="M191" s="5">
        <v>44460</v>
      </c>
      <c r="N191" s="4">
        <v>999.96</v>
      </c>
      <c r="O191" s="9">
        <f t="shared" ca="1" si="12"/>
        <v>46106</v>
      </c>
      <c r="P191" s="10">
        <f t="shared" ca="1" si="13"/>
        <v>46106.913759606483</v>
      </c>
      <c r="Q191" s="11">
        <f t="shared" si="14"/>
        <v>39</v>
      </c>
      <c r="R191" s="11">
        <f t="shared" si="15"/>
        <v>31</v>
      </c>
      <c r="S191" s="13" t="str">
        <f t="shared" si="11"/>
        <v>normal</v>
      </c>
    </row>
    <row r="192" spans="1:19" ht="15.75" customHeight="1" x14ac:dyDescent="0.45">
      <c r="A192" s="4" t="s">
        <v>339</v>
      </c>
      <c r="B192" s="5">
        <v>45671</v>
      </c>
      <c r="C192" s="4" t="s">
        <v>122</v>
      </c>
      <c r="D192" s="4" t="s">
        <v>123</v>
      </c>
      <c r="E192" s="4" t="s">
        <v>54</v>
      </c>
      <c r="F192" s="4" t="s">
        <v>55</v>
      </c>
      <c r="G192" s="4" t="s">
        <v>21</v>
      </c>
      <c r="H192" s="4">
        <v>2</v>
      </c>
      <c r="I192" s="4">
        <v>149.99</v>
      </c>
      <c r="J192" s="4" t="s">
        <v>22</v>
      </c>
      <c r="K192" s="4" t="s">
        <v>42</v>
      </c>
      <c r="L192" s="4" t="s">
        <v>38</v>
      </c>
      <c r="M192" s="5">
        <v>44913</v>
      </c>
      <c r="N192" s="4">
        <v>299.98</v>
      </c>
      <c r="O192" s="9">
        <f t="shared" ca="1" si="12"/>
        <v>46106</v>
      </c>
      <c r="P192" s="10">
        <f t="shared" ca="1" si="13"/>
        <v>46106.913759606483</v>
      </c>
      <c r="Q192" s="11">
        <f t="shared" si="14"/>
        <v>24</v>
      </c>
      <c r="R192" s="11">
        <f t="shared" si="15"/>
        <v>31</v>
      </c>
      <c r="S192" s="13" t="str">
        <f t="shared" si="11"/>
        <v>normal</v>
      </c>
    </row>
    <row r="193" spans="1:19" ht="15.75" customHeight="1" x14ac:dyDescent="0.45">
      <c r="A193" s="4" t="s">
        <v>340</v>
      </c>
      <c r="B193" s="5">
        <v>45671</v>
      </c>
      <c r="C193" s="4" t="s">
        <v>236</v>
      </c>
      <c r="D193" s="4" t="s">
        <v>237</v>
      </c>
      <c r="E193" s="4" t="s">
        <v>107</v>
      </c>
      <c r="F193" s="4" t="s">
        <v>108</v>
      </c>
      <c r="G193" s="4" t="s">
        <v>48</v>
      </c>
      <c r="H193" s="4">
        <v>3</v>
      </c>
      <c r="I193" s="4">
        <v>299.99</v>
      </c>
      <c r="J193" s="4" t="s">
        <v>28</v>
      </c>
      <c r="K193" s="4" t="s">
        <v>37</v>
      </c>
      <c r="L193" s="4" t="s">
        <v>24</v>
      </c>
      <c r="M193" s="5">
        <v>45204</v>
      </c>
      <c r="N193" s="4">
        <v>899.97</v>
      </c>
      <c r="O193" s="9">
        <f t="shared" ca="1" si="12"/>
        <v>46106</v>
      </c>
      <c r="P193" s="10">
        <f t="shared" ca="1" si="13"/>
        <v>46106.913759606483</v>
      </c>
      <c r="Q193" s="11">
        <f t="shared" si="14"/>
        <v>15</v>
      </c>
      <c r="R193" s="11">
        <f t="shared" si="15"/>
        <v>31</v>
      </c>
      <c r="S193" s="13" t="str">
        <f t="shared" si="11"/>
        <v>normal</v>
      </c>
    </row>
    <row r="194" spans="1:19" ht="15.75" customHeight="1" x14ac:dyDescent="0.45">
      <c r="A194" s="4" t="s">
        <v>341</v>
      </c>
      <c r="B194" s="5">
        <v>45673</v>
      </c>
      <c r="C194" s="4" t="s">
        <v>228</v>
      </c>
      <c r="D194" s="4" t="s">
        <v>229</v>
      </c>
      <c r="E194" s="4" t="s">
        <v>128</v>
      </c>
      <c r="F194" s="4" t="s">
        <v>129</v>
      </c>
      <c r="G194" s="4" t="s">
        <v>48</v>
      </c>
      <c r="H194" s="4">
        <v>4</v>
      </c>
      <c r="I194" s="4">
        <v>199.99</v>
      </c>
      <c r="J194" s="4" t="s">
        <v>59</v>
      </c>
      <c r="K194" s="4" t="s">
        <v>37</v>
      </c>
      <c r="L194" s="4" t="s">
        <v>38</v>
      </c>
      <c r="M194" s="5">
        <v>44544</v>
      </c>
      <c r="N194" s="4">
        <v>799.96</v>
      </c>
      <c r="O194" s="9">
        <f t="shared" ca="1" si="12"/>
        <v>46106</v>
      </c>
      <c r="P194" s="10">
        <f t="shared" ca="1" si="13"/>
        <v>46106.913759606483</v>
      </c>
      <c r="Q194" s="11">
        <f t="shared" si="14"/>
        <v>37</v>
      </c>
      <c r="R194" s="11">
        <f t="shared" si="15"/>
        <v>31</v>
      </c>
      <c r="S194" s="13" t="str">
        <f t="shared" ref="S194:S251" si="16">IF(N194&gt;2000,"high-value","normal")</f>
        <v>normal</v>
      </c>
    </row>
    <row r="195" spans="1:19" ht="15.75" customHeight="1" x14ac:dyDescent="0.45">
      <c r="A195" s="4" t="s">
        <v>342</v>
      </c>
      <c r="B195" s="5">
        <v>45673</v>
      </c>
      <c r="C195" s="4" t="s">
        <v>213</v>
      </c>
      <c r="D195" s="4" t="s">
        <v>214</v>
      </c>
      <c r="E195" s="4" t="s">
        <v>107</v>
      </c>
      <c r="F195" s="4" t="s">
        <v>108</v>
      </c>
      <c r="G195" s="4" t="s">
        <v>48</v>
      </c>
      <c r="H195" s="4">
        <v>5</v>
      </c>
      <c r="I195" s="4">
        <v>299.99</v>
      </c>
      <c r="J195" s="4" t="s">
        <v>59</v>
      </c>
      <c r="K195" s="4" t="s">
        <v>23</v>
      </c>
      <c r="L195" s="4" t="s">
        <v>24</v>
      </c>
      <c r="M195" s="5">
        <v>44431</v>
      </c>
      <c r="N195" s="4">
        <v>1499.95</v>
      </c>
      <c r="O195" s="9">
        <f t="shared" ref="O195:O251" ca="1" si="17">TODAY()</f>
        <v>46106</v>
      </c>
      <c r="P195" s="10">
        <f t="shared" ref="P195:P251" ca="1" si="18">NOW()</f>
        <v>46106.913759606483</v>
      </c>
      <c r="Q195" s="11">
        <f t="shared" ref="Q195:Q251" si="19">DATEDIF(M195,B195,"M")</f>
        <v>40</v>
      </c>
      <c r="R195" s="11">
        <f t="shared" ref="R195:R251" si="20">DAY(EOMONTH(B195,0))</f>
        <v>31</v>
      </c>
      <c r="S195" s="13" t="str">
        <f t="shared" si="16"/>
        <v>normal</v>
      </c>
    </row>
    <row r="196" spans="1:19" ht="15.75" customHeight="1" x14ac:dyDescent="0.45">
      <c r="A196" s="4" t="s">
        <v>343</v>
      </c>
      <c r="B196" s="5">
        <v>45673</v>
      </c>
      <c r="C196" s="4" t="s">
        <v>61</v>
      </c>
      <c r="D196" s="4" t="s">
        <v>62</v>
      </c>
      <c r="E196" s="4" t="s">
        <v>46</v>
      </c>
      <c r="F196" s="4" t="s">
        <v>47</v>
      </c>
      <c r="G196" s="4" t="s">
        <v>48</v>
      </c>
      <c r="H196" s="4">
        <v>3</v>
      </c>
      <c r="I196" s="4">
        <v>149.99</v>
      </c>
      <c r="J196" s="4" t="s">
        <v>28</v>
      </c>
      <c r="K196" s="4" t="s">
        <v>65</v>
      </c>
      <c r="L196" s="4" t="s">
        <v>38</v>
      </c>
      <c r="M196" s="5">
        <v>44395</v>
      </c>
      <c r="N196" s="4">
        <v>449.97</v>
      </c>
      <c r="O196" s="9">
        <f t="shared" ca="1" si="17"/>
        <v>46106</v>
      </c>
      <c r="P196" s="10">
        <f t="shared" ca="1" si="18"/>
        <v>46106.913759606483</v>
      </c>
      <c r="Q196" s="11">
        <f t="shared" si="19"/>
        <v>41</v>
      </c>
      <c r="R196" s="11">
        <f t="shared" si="20"/>
        <v>31</v>
      </c>
      <c r="S196" s="13" t="str">
        <f t="shared" si="16"/>
        <v>normal</v>
      </c>
    </row>
    <row r="197" spans="1:19" ht="15.75" customHeight="1" x14ac:dyDescent="0.45">
      <c r="A197" s="4" t="s">
        <v>344</v>
      </c>
      <c r="B197" s="5">
        <v>45676</v>
      </c>
      <c r="C197" s="4" t="s">
        <v>131</v>
      </c>
      <c r="D197" s="4" t="s">
        <v>132</v>
      </c>
      <c r="E197" s="4" t="s">
        <v>33</v>
      </c>
      <c r="F197" s="4" t="s">
        <v>34</v>
      </c>
      <c r="G197" s="4" t="s">
        <v>35</v>
      </c>
      <c r="H197" s="4">
        <v>5</v>
      </c>
      <c r="I197" s="4">
        <v>59.99</v>
      </c>
      <c r="J197" s="4" t="s">
        <v>59</v>
      </c>
      <c r="K197" s="4" t="s">
        <v>65</v>
      </c>
      <c r="L197" s="4" t="s">
        <v>24</v>
      </c>
      <c r="M197" s="5">
        <v>44642</v>
      </c>
      <c r="N197" s="4">
        <v>299.95</v>
      </c>
      <c r="O197" s="9">
        <f t="shared" ca="1" si="17"/>
        <v>46106</v>
      </c>
      <c r="P197" s="10">
        <f t="shared" ca="1" si="18"/>
        <v>46106.913759606483</v>
      </c>
      <c r="Q197" s="11">
        <f t="shared" si="19"/>
        <v>33</v>
      </c>
      <c r="R197" s="11">
        <f t="shared" si="20"/>
        <v>31</v>
      </c>
      <c r="S197" s="13" t="str">
        <f t="shared" si="16"/>
        <v>normal</v>
      </c>
    </row>
    <row r="198" spans="1:19" ht="15.75" customHeight="1" x14ac:dyDescent="0.45">
      <c r="A198" s="4" t="s">
        <v>345</v>
      </c>
      <c r="B198" s="5">
        <v>45682</v>
      </c>
      <c r="C198" s="4" t="s">
        <v>70</v>
      </c>
      <c r="D198" s="4" t="s">
        <v>71</v>
      </c>
      <c r="E198" s="4" t="s">
        <v>33</v>
      </c>
      <c r="F198" s="4" t="s">
        <v>34</v>
      </c>
      <c r="G198" s="4" t="s">
        <v>35</v>
      </c>
      <c r="H198" s="4">
        <v>4</v>
      </c>
      <c r="I198" s="4">
        <v>59.99</v>
      </c>
      <c r="J198" s="4" t="s">
        <v>59</v>
      </c>
      <c r="K198" s="4" t="s">
        <v>65</v>
      </c>
      <c r="L198" s="4" t="s">
        <v>38</v>
      </c>
      <c r="M198" s="5">
        <v>44564</v>
      </c>
      <c r="N198" s="4">
        <v>239.96</v>
      </c>
      <c r="O198" s="9">
        <f t="shared" ca="1" si="17"/>
        <v>46106</v>
      </c>
      <c r="P198" s="10">
        <f t="shared" ca="1" si="18"/>
        <v>46106.913759606483</v>
      </c>
      <c r="Q198" s="11">
        <f t="shared" si="19"/>
        <v>36</v>
      </c>
      <c r="R198" s="11">
        <f t="shared" si="20"/>
        <v>31</v>
      </c>
      <c r="S198" s="13" t="str">
        <f t="shared" si="16"/>
        <v>normal</v>
      </c>
    </row>
    <row r="199" spans="1:19" ht="15.75" customHeight="1" x14ac:dyDescent="0.45">
      <c r="A199" s="4" t="s">
        <v>346</v>
      </c>
      <c r="B199" s="5">
        <v>45683</v>
      </c>
      <c r="C199" s="4" t="s">
        <v>50</v>
      </c>
      <c r="D199" s="4" t="s">
        <v>51</v>
      </c>
      <c r="E199" s="4" t="s">
        <v>19</v>
      </c>
      <c r="F199" s="4" t="s">
        <v>20</v>
      </c>
      <c r="G199" s="4" t="s">
        <v>21</v>
      </c>
      <c r="H199" s="4">
        <v>4</v>
      </c>
      <c r="I199" s="4">
        <v>249.99</v>
      </c>
      <c r="J199" s="4" t="s">
        <v>59</v>
      </c>
      <c r="K199" s="4" t="s">
        <v>23</v>
      </c>
      <c r="L199" s="4" t="s">
        <v>29</v>
      </c>
      <c r="M199" s="5">
        <v>45217</v>
      </c>
      <c r="N199" s="4">
        <v>999.96</v>
      </c>
      <c r="O199" s="9">
        <f t="shared" ca="1" si="17"/>
        <v>46106</v>
      </c>
      <c r="P199" s="10">
        <f t="shared" ca="1" si="18"/>
        <v>46106.913759606483</v>
      </c>
      <c r="Q199" s="11">
        <f t="shared" si="19"/>
        <v>15</v>
      </c>
      <c r="R199" s="11">
        <f t="shared" si="20"/>
        <v>31</v>
      </c>
      <c r="S199" s="13" t="str">
        <f t="shared" si="16"/>
        <v>normal</v>
      </c>
    </row>
    <row r="200" spans="1:19" ht="15.75" customHeight="1" x14ac:dyDescent="0.45">
      <c r="A200" s="4" t="s">
        <v>347</v>
      </c>
      <c r="B200" s="5">
        <v>45686</v>
      </c>
      <c r="C200" s="4" t="s">
        <v>254</v>
      </c>
      <c r="D200" s="4" t="s">
        <v>255</v>
      </c>
      <c r="E200" s="4" t="s">
        <v>63</v>
      </c>
      <c r="F200" s="4" t="s">
        <v>64</v>
      </c>
      <c r="G200" s="4" t="s">
        <v>21</v>
      </c>
      <c r="H200" s="4">
        <v>4</v>
      </c>
      <c r="I200" s="4">
        <v>899.99</v>
      </c>
      <c r="J200" s="4" t="s">
        <v>36</v>
      </c>
      <c r="K200" s="4" t="s">
        <v>23</v>
      </c>
      <c r="L200" s="4" t="s">
        <v>24</v>
      </c>
      <c r="M200" s="5">
        <v>44734</v>
      </c>
      <c r="N200" s="4">
        <v>3599.96</v>
      </c>
      <c r="O200" s="9">
        <f t="shared" ca="1" si="17"/>
        <v>46106</v>
      </c>
      <c r="P200" s="10">
        <f t="shared" ca="1" si="18"/>
        <v>46106.913759606483</v>
      </c>
      <c r="Q200" s="11">
        <f t="shared" si="19"/>
        <v>31</v>
      </c>
      <c r="R200" s="11">
        <f t="shared" si="20"/>
        <v>31</v>
      </c>
      <c r="S200" s="13" t="str">
        <f t="shared" si="16"/>
        <v>high-value</v>
      </c>
    </row>
    <row r="201" spans="1:19" ht="15.75" customHeight="1" x14ac:dyDescent="0.45">
      <c r="A201" s="4" t="s">
        <v>348</v>
      </c>
      <c r="B201" s="5">
        <v>45686</v>
      </c>
      <c r="C201" s="4" t="s">
        <v>88</v>
      </c>
      <c r="D201" s="4" t="s">
        <v>89</v>
      </c>
      <c r="E201" s="4" t="s">
        <v>107</v>
      </c>
      <c r="F201" s="4" t="s">
        <v>108</v>
      </c>
      <c r="G201" s="4" t="s">
        <v>48</v>
      </c>
      <c r="H201" s="4">
        <v>3</v>
      </c>
      <c r="I201" s="4">
        <v>299.99</v>
      </c>
      <c r="J201" s="4" t="s">
        <v>59</v>
      </c>
      <c r="K201" s="4" t="s">
        <v>52</v>
      </c>
      <c r="L201" s="4" t="s">
        <v>38</v>
      </c>
      <c r="M201" s="5">
        <v>44952</v>
      </c>
      <c r="N201" s="4">
        <v>899.97</v>
      </c>
      <c r="O201" s="9">
        <f t="shared" ca="1" si="17"/>
        <v>46106</v>
      </c>
      <c r="P201" s="10">
        <f t="shared" ca="1" si="18"/>
        <v>46106.913759606483</v>
      </c>
      <c r="Q201" s="11">
        <f t="shared" si="19"/>
        <v>24</v>
      </c>
      <c r="R201" s="11">
        <f t="shared" si="20"/>
        <v>31</v>
      </c>
      <c r="S201" s="13" t="str">
        <f t="shared" si="16"/>
        <v>normal</v>
      </c>
    </row>
    <row r="202" spans="1:19" ht="15.75" customHeight="1" x14ac:dyDescent="0.45">
      <c r="A202" s="4" t="s">
        <v>349</v>
      </c>
      <c r="B202" s="5">
        <v>45686</v>
      </c>
      <c r="C202" s="4" t="s">
        <v>295</v>
      </c>
      <c r="D202" s="4" t="s">
        <v>296</v>
      </c>
      <c r="E202" s="4" t="s">
        <v>82</v>
      </c>
      <c r="F202" s="4" t="s">
        <v>83</v>
      </c>
      <c r="G202" s="4" t="s">
        <v>21</v>
      </c>
      <c r="H202" s="4">
        <v>2</v>
      </c>
      <c r="I202" s="4">
        <v>699.99</v>
      </c>
      <c r="J202" s="4" t="s">
        <v>59</v>
      </c>
      <c r="K202" s="4" t="s">
        <v>23</v>
      </c>
      <c r="L202" s="4" t="s">
        <v>29</v>
      </c>
      <c r="M202" s="5">
        <v>44681</v>
      </c>
      <c r="N202" s="4">
        <v>1399.98</v>
      </c>
      <c r="O202" s="9">
        <f t="shared" ca="1" si="17"/>
        <v>46106</v>
      </c>
      <c r="P202" s="10">
        <f t="shared" ca="1" si="18"/>
        <v>46106.913759606483</v>
      </c>
      <c r="Q202" s="11">
        <f t="shared" si="19"/>
        <v>32</v>
      </c>
      <c r="R202" s="11">
        <f t="shared" si="20"/>
        <v>31</v>
      </c>
      <c r="S202" s="13" t="str">
        <f t="shared" si="16"/>
        <v>normal</v>
      </c>
    </row>
    <row r="203" spans="1:19" ht="15.75" customHeight="1" x14ac:dyDescent="0.45">
      <c r="A203" s="4" t="s">
        <v>350</v>
      </c>
      <c r="B203" s="5">
        <v>45688</v>
      </c>
      <c r="C203" s="4" t="s">
        <v>67</v>
      </c>
      <c r="D203" s="4" t="s">
        <v>68</v>
      </c>
      <c r="E203" s="4" t="s">
        <v>82</v>
      </c>
      <c r="F203" s="4" t="s">
        <v>83</v>
      </c>
      <c r="G203" s="4" t="s">
        <v>21</v>
      </c>
      <c r="H203" s="4">
        <v>4</v>
      </c>
      <c r="I203" s="4">
        <v>699.99</v>
      </c>
      <c r="J203" s="4" t="s">
        <v>59</v>
      </c>
      <c r="K203" s="4" t="s">
        <v>52</v>
      </c>
      <c r="L203" s="4" t="s">
        <v>29</v>
      </c>
      <c r="M203" s="5">
        <v>44692</v>
      </c>
      <c r="N203" s="4">
        <v>2799.96</v>
      </c>
      <c r="O203" s="9">
        <f t="shared" ca="1" si="17"/>
        <v>46106</v>
      </c>
      <c r="P203" s="10">
        <f t="shared" ca="1" si="18"/>
        <v>46106.913759606483</v>
      </c>
      <c r="Q203" s="11">
        <f t="shared" si="19"/>
        <v>32</v>
      </c>
      <c r="R203" s="11">
        <f t="shared" si="20"/>
        <v>31</v>
      </c>
      <c r="S203" s="13" t="str">
        <f t="shared" si="16"/>
        <v>high-value</v>
      </c>
    </row>
    <row r="204" spans="1:19" ht="15.75" customHeight="1" x14ac:dyDescent="0.45">
      <c r="A204" s="4" t="s">
        <v>351</v>
      </c>
      <c r="B204" s="5">
        <v>45688</v>
      </c>
      <c r="C204" s="4" t="s">
        <v>125</v>
      </c>
      <c r="D204" s="4" t="s">
        <v>126</v>
      </c>
      <c r="E204" s="4" t="s">
        <v>119</v>
      </c>
      <c r="F204" s="4" t="s">
        <v>120</v>
      </c>
      <c r="G204" s="4" t="s">
        <v>21</v>
      </c>
      <c r="H204" s="4">
        <v>2</v>
      </c>
      <c r="I204" s="4">
        <v>89.99</v>
      </c>
      <c r="J204" s="4" t="s">
        <v>59</v>
      </c>
      <c r="K204" s="4" t="s">
        <v>37</v>
      </c>
      <c r="L204" s="4" t="s">
        <v>24</v>
      </c>
      <c r="M204" s="5">
        <v>44777</v>
      </c>
      <c r="N204" s="4">
        <v>179.98</v>
      </c>
      <c r="O204" s="9">
        <f t="shared" ca="1" si="17"/>
        <v>46106</v>
      </c>
      <c r="P204" s="10">
        <f t="shared" ca="1" si="18"/>
        <v>46106.913759606483</v>
      </c>
      <c r="Q204" s="11">
        <f t="shared" si="19"/>
        <v>29</v>
      </c>
      <c r="R204" s="11">
        <f t="shared" si="20"/>
        <v>31</v>
      </c>
      <c r="S204" s="13" t="str">
        <f t="shared" si="16"/>
        <v>normal</v>
      </c>
    </row>
    <row r="205" spans="1:19" ht="15.75" customHeight="1" x14ac:dyDescent="0.45">
      <c r="A205" s="4" t="s">
        <v>352</v>
      </c>
      <c r="B205" s="5">
        <v>45688</v>
      </c>
      <c r="C205" s="4" t="s">
        <v>44</v>
      </c>
      <c r="D205" s="4" t="s">
        <v>45</v>
      </c>
      <c r="E205" s="4" t="s">
        <v>119</v>
      </c>
      <c r="F205" s="4" t="s">
        <v>120</v>
      </c>
      <c r="G205" s="4" t="s">
        <v>21</v>
      </c>
      <c r="H205" s="4">
        <v>3</v>
      </c>
      <c r="I205" s="4">
        <v>89.99</v>
      </c>
      <c r="J205" s="4" t="s">
        <v>59</v>
      </c>
      <c r="K205" s="4" t="s">
        <v>37</v>
      </c>
      <c r="L205" s="4" t="s">
        <v>29</v>
      </c>
      <c r="M205" s="5">
        <v>45307</v>
      </c>
      <c r="N205" s="4">
        <v>269.97000000000003</v>
      </c>
      <c r="O205" s="9">
        <f t="shared" ca="1" si="17"/>
        <v>46106</v>
      </c>
      <c r="P205" s="10">
        <f t="shared" ca="1" si="18"/>
        <v>46106.913759606483</v>
      </c>
      <c r="Q205" s="11">
        <f t="shared" si="19"/>
        <v>12</v>
      </c>
      <c r="R205" s="11">
        <f t="shared" si="20"/>
        <v>31</v>
      </c>
      <c r="S205" s="13" t="str">
        <f t="shared" si="16"/>
        <v>normal</v>
      </c>
    </row>
    <row r="206" spans="1:19" ht="15.75" customHeight="1" x14ac:dyDescent="0.45">
      <c r="A206" s="4" t="s">
        <v>353</v>
      </c>
      <c r="B206" s="5">
        <v>45692</v>
      </c>
      <c r="C206" s="4" t="s">
        <v>327</v>
      </c>
      <c r="D206" s="4" t="s">
        <v>328</v>
      </c>
      <c r="E206" s="4" t="s">
        <v>33</v>
      </c>
      <c r="F206" s="4" t="s">
        <v>34</v>
      </c>
      <c r="G206" s="4" t="s">
        <v>35</v>
      </c>
      <c r="H206" s="4">
        <v>1</v>
      </c>
      <c r="I206" s="4">
        <v>59.99</v>
      </c>
      <c r="J206" s="4" t="s">
        <v>59</v>
      </c>
      <c r="K206" s="4" t="s">
        <v>23</v>
      </c>
      <c r="L206" s="4" t="s">
        <v>38</v>
      </c>
      <c r="M206" s="5">
        <v>45045</v>
      </c>
      <c r="N206" s="4">
        <v>59.99</v>
      </c>
      <c r="O206" s="9">
        <f t="shared" ca="1" si="17"/>
        <v>46106</v>
      </c>
      <c r="P206" s="10">
        <f t="shared" ca="1" si="18"/>
        <v>46106.913759606483</v>
      </c>
      <c r="Q206" s="11">
        <f t="shared" si="19"/>
        <v>21</v>
      </c>
      <c r="R206" s="11">
        <f t="shared" si="20"/>
        <v>28</v>
      </c>
      <c r="S206" s="13" t="str">
        <f t="shared" si="16"/>
        <v>normal</v>
      </c>
    </row>
    <row r="207" spans="1:19" ht="15.75" customHeight="1" x14ac:dyDescent="0.45">
      <c r="A207" s="4" t="s">
        <v>354</v>
      </c>
      <c r="B207" s="5">
        <v>45695</v>
      </c>
      <c r="C207" s="4" t="s">
        <v>248</v>
      </c>
      <c r="D207" s="4" t="s">
        <v>249</v>
      </c>
      <c r="E207" s="4" t="s">
        <v>46</v>
      </c>
      <c r="F207" s="4" t="s">
        <v>47</v>
      </c>
      <c r="G207" s="4" t="s">
        <v>48</v>
      </c>
      <c r="H207" s="4">
        <v>3</v>
      </c>
      <c r="I207" s="4">
        <v>149.99</v>
      </c>
      <c r="J207" s="4" t="s">
        <v>59</v>
      </c>
      <c r="K207" s="4" t="s">
        <v>42</v>
      </c>
      <c r="L207" s="4" t="s">
        <v>29</v>
      </c>
      <c r="M207" s="5">
        <v>44564</v>
      </c>
      <c r="N207" s="4">
        <v>449.97</v>
      </c>
      <c r="O207" s="9">
        <f t="shared" ca="1" si="17"/>
        <v>46106</v>
      </c>
      <c r="P207" s="10">
        <f t="shared" ca="1" si="18"/>
        <v>46106.913759606483</v>
      </c>
      <c r="Q207" s="11">
        <f t="shared" si="19"/>
        <v>37</v>
      </c>
      <c r="R207" s="11">
        <f t="shared" si="20"/>
        <v>28</v>
      </c>
      <c r="S207" s="13" t="str">
        <f t="shared" si="16"/>
        <v>normal</v>
      </c>
    </row>
    <row r="208" spans="1:19" ht="15.75" customHeight="1" x14ac:dyDescent="0.45">
      <c r="A208" s="4" t="s">
        <v>355</v>
      </c>
      <c r="B208" s="5">
        <v>45695</v>
      </c>
      <c r="C208" s="4" t="s">
        <v>95</v>
      </c>
      <c r="D208" s="4" t="s">
        <v>96</v>
      </c>
      <c r="E208" s="4" t="s">
        <v>107</v>
      </c>
      <c r="F208" s="4" t="s">
        <v>108</v>
      </c>
      <c r="G208" s="4" t="s">
        <v>48</v>
      </c>
      <c r="H208" s="4">
        <v>5</v>
      </c>
      <c r="I208" s="4">
        <v>299.99</v>
      </c>
      <c r="J208" s="4" t="s">
        <v>28</v>
      </c>
      <c r="K208" s="4" t="s">
        <v>37</v>
      </c>
      <c r="L208" s="4" t="s">
        <v>24</v>
      </c>
      <c r="M208" s="5">
        <v>44959</v>
      </c>
      <c r="N208" s="4">
        <v>1499.95</v>
      </c>
      <c r="O208" s="9">
        <f t="shared" ca="1" si="17"/>
        <v>46106</v>
      </c>
      <c r="P208" s="10">
        <f t="shared" ca="1" si="18"/>
        <v>46106.913759606483</v>
      </c>
      <c r="Q208" s="11">
        <f t="shared" si="19"/>
        <v>24</v>
      </c>
      <c r="R208" s="11">
        <f t="shared" si="20"/>
        <v>28</v>
      </c>
      <c r="S208" s="13" t="str">
        <f t="shared" si="16"/>
        <v>normal</v>
      </c>
    </row>
    <row r="209" spans="1:19" ht="15.75" customHeight="1" x14ac:dyDescent="0.45">
      <c r="A209" s="4" t="s">
        <v>356</v>
      </c>
      <c r="B209" s="5">
        <v>45696</v>
      </c>
      <c r="C209" s="4" t="s">
        <v>152</v>
      </c>
      <c r="D209" s="4" t="s">
        <v>153</v>
      </c>
      <c r="E209" s="4" t="s">
        <v>33</v>
      </c>
      <c r="F209" s="4" t="s">
        <v>34</v>
      </c>
      <c r="G209" s="4" t="s">
        <v>35</v>
      </c>
      <c r="H209" s="4">
        <v>5</v>
      </c>
      <c r="I209" s="4">
        <v>59.99</v>
      </c>
      <c r="J209" s="4" t="s">
        <v>59</v>
      </c>
      <c r="K209" s="4" t="s">
        <v>23</v>
      </c>
      <c r="L209" s="4" t="s">
        <v>38</v>
      </c>
      <c r="M209" s="5">
        <v>45177</v>
      </c>
      <c r="N209" s="4">
        <v>299.95</v>
      </c>
      <c r="O209" s="9">
        <f t="shared" ca="1" si="17"/>
        <v>46106</v>
      </c>
      <c r="P209" s="10">
        <f t="shared" ca="1" si="18"/>
        <v>46106.913759606483</v>
      </c>
      <c r="Q209" s="11">
        <f t="shared" si="19"/>
        <v>17</v>
      </c>
      <c r="R209" s="11">
        <f t="shared" si="20"/>
        <v>28</v>
      </c>
      <c r="S209" s="13" t="str">
        <f t="shared" si="16"/>
        <v>normal</v>
      </c>
    </row>
    <row r="210" spans="1:19" ht="15.75" customHeight="1" x14ac:dyDescent="0.45">
      <c r="A210" s="4" t="s">
        <v>357</v>
      </c>
      <c r="B210" s="5">
        <v>45701</v>
      </c>
      <c r="C210" s="4" t="s">
        <v>110</v>
      </c>
      <c r="D210" s="4" t="s">
        <v>111</v>
      </c>
      <c r="E210" s="4" t="s">
        <v>116</v>
      </c>
      <c r="F210" s="4" t="s">
        <v>117</v>
      </c>
      <c r="G210" s="4" t="s">
        <v>35</v>
      </c>
      <c r="H210" s="4">
        <v>3</v>
      </c>
      <c r="I210" s="4">
        <v>79.989999999999995</v>
      </c>
      <c r="J210" s="4" t="s">
        <v>22</v>
      </c>
      <c r="K210" s="4" t="s">
        <v>65</v>
      </c>
      <c r="L210" s="4" t="s">
        <v>29</v>
      </c>
      <c r="M210" s="5">
        <v>44436</v>
      </c>
      <c r="N210" s="4">
        <v>239.97</v>
      </c>
      <c r="O210" s="9">
        <f t="shared" ca="1" si="17"/>
        <v>46106</v>
      </c>
      <c r="P210" s="10">
        <f t="shared" ca="1" si="18"/>
        <v>46106.913759606483</v>
      </c>
      <c r="Q210" s="11">
        <f t="shared" si="19"/>
        <v>41</v>
      </c>
      <c r="R210" s="11">
        <f t="shared" si="20"/>
        <v>28</v>
      </c>
      <c r="S210" s="13" t="str">
        <f t="shared" si="16"/>
        <v>normal</v>
      </c>
    </row>
    <row r="211" spans="1:19" ht="15.75" customHeight="1" x14ac:dyDescent="0.45">
      <c r="A211" s="4" t="s">
        <v>358</v>
      </c>
      <c r="B211" s="5">
        <v>45704</v>
      </c>
      <c r="C211" s="4" t="s">
        <v>31</v>
      </c>
      <c r="D211" s="4" t="s">
        <v>32</v>
      </c>
      <c r="E211" s="4" t="s">
        <v>128</v>
      </c>
      <c r="F211" s="4" t="s">
        <v>129</v>
      </c>
      <c r="G211" s="4" t="s">
        <v>48</v>
      </c>
      <c r="H211" s="4">
        <v>3</v>
      </c>
      <c r="I211" s="4">
        <v>199.99</v>
      </c>
      <c r="J211" s="4" t="s">
        <v>22</v>
      </c>
      <c r="K211" s="4" t="s">
        <v>23</v>
      </c>
      <c r="L211" s="4" t="s">
        <v>24</v>
      </c>
      <c r="M211" s="5">
        <v>44735</v>
      </c>
      <c r="N211" s="4">
        <v>599.97</v>
      </c>
      <c r="O211" s="9">
        <f t="shared" ca="1" si="17"/>
        <v>46106</v>
      </c>
      <c r="P211" s="10">
        <f t="shared" ca="1" si="18"/>
        <v>46106.913759606483</v>
      </c>
      <c r="Q211" s="11">
        <f t="shared" si="19"/>
        <v>31</v>
      </c>
      <c r="R211" s="11">
        <f t="shared" si="20"/>
        <v>28</v>
      </c>
      <c r="S211" s="13" t="str">
        <f t="shared" si="16"/>
        <v>normal</v>
      </c>
    </row>
    <row r="212" spans="1:19" ht="15.75" customHeight="1" x14ac:dyDescent="0.45">
      <c r="A212" s="4" t="s">
        <v>359</v>
      </c>
      <c r="B212" s="5">
        <v>45704</v>
      </c>
      <c r="C212" s="4" t="s">
        <v>17</v>
      </c>
      <c r="D212" s="4" t="s">
        <v>18</v>
      </c>
      <c r="E212" s="4" t="s">
        <v>119</v>
      </c>
      <c r="F212" s="4" t="s">
        <v>120</v>
      </c>
      <c r="G212" s="4" t="s">
        <v>21</v>
      </c>
      <c r="H212" s="4">
        <v>2</v>
      </c>
      <c r="I212" s="4">
        <v>89.99</v>
      </c>
      <c r="J212" s="4" t="s">
        <v>36</v>
      </c>
      <c r="K212" s="4" t="s">
        <v>23</v>
      </c>
      <c r="L212" s="4" t="s">
        <v>24</v>
      </c>
      <c r="M212" s="5">
        <v>45257</v>
      </c>
      <c r="N212" s="4">
        <v>179.98</v>
      </c>
      <c r="O212" s="9">
        <f t="shared" ca="1" si="17"/>
        <v>46106</v>
      </c>
      <c r="P212" s="10">
        <f t="shared" ca="1" si="18"/>
        <v>46106.913759606483</v>
      </c>
      <c r="Q212" s="11">
        <f t="shared" si="19"/>
        <v>14</v>
      </c>
      <c r="R212" s="11">
        <f t="shared" si="20"/>
        <v>28</v>
      </c>
      <c r="S212" s="13" t="str">
        <f t="shared" si="16"/>
        <v>normal</v>
      </c>
    </row>
    <row r="213" spans="1:19" ht="15.75" customHeight="1" x14ac:dyDescent="0.45">
      <c r="A213" s="4" t="s">
        <v>360</v>
      </c>
      <c r="B213" s="5">
        <v>45705</v>
      </c>
      <c r="C213" s="4" t="s">
        <v>261</v>
      </c>
      <c r="D213" s="4" t="s">
        <v>262</v>
      </c>
      <c r="E213" s="4" t="s">
        <v>46</v>
      </c>
      <c r="F213" s="4" t="s">
        <v>47</v>
      </c>
      <c r="G213" s="4" t="s">
        <v>48</v>
      </c>
      <c r="H213" s="4">
        <v>2</v>
      </c>
      <c r="I213" s="4">
        <v>149.99</v>
      </c>
      <c r="J213" s="4" t="s">
        <v>22</v>
      </c>
      <c r="K213" s="4" t="s">
        <v>37</v>
      </c>
      <c r="L213" s="4" t="s">
        <v>29</v>
      </c>
      <c r="M213" s="5">
        <v>44728</v>
      </c>
      <c r="N213" s="4">
        <v>299.98</v>
      </c>
      <c r="O213" s="9">
        <f t="shared" ca="1" si="17"/>
        <v>46106</v>
      </c>
      <c r="P213" s="10">
        <f t="shared" ca="1" si="18"/>
        <v>46106.913759606483</v>
      </c>
      <c r="Q213" s="11">
        <f t="shared" si="19"/>
        <v>32</v>
      </c>
      <c r="R213" s="11">
        <f t="shared" si="20"/>
        <v>28</v>
      </c>
      <c r="S213" s="13" t="str">
        <f t="shared" si="16"/>
        <v>normal</v>
      </c>
    </row>
    <row r="214" spans="1:19" ht="15.75" customHeight="1" x14ac:dyDescent="0.45">
      <c r="A214" s="4" t="s">
        <v>361</v>
      </c>
      <c r="B214" s="5">
        <v>45707</v>
      </c>
      <c r="C214" s="4" t="s">
        <v>125</v>
      </c>
      <c r="D214" s="4" t="s">
        <v>126</v>
      </c>
      <c r="E214" s="4" t="s">
        <v>82</v>
      </c>
      <c r="F214" s="4" t="s">
        <v>83</v>
      </c>
      <c r="G214" s="4" t="s">
        <v>21</v>
      </c>
      <c r="H214" s="4">
        <v>5</v>
      </c>
      <c r="I214" s="4">
        <v>699.99</v>
      </c>
      <c r="J214" s="4" t="s">
        <v>36</v>
      </c>
      <c r="K214" s="4" t="s">
        <v>37</v>
      </c>
      <c r="L214" s="4" t="s">
        <v>29</v>
      </c>
      <c r="M214" s="5">
        <v>45352</v>
      </c>
      <c r="N214" s="4">
        <v>3499.95</v>
      </c>
      <c r="O214" s="9">
        <f t="shared" ca="1" si="17"/>
        <v>46106</v>
      </c>
      <c r="P214" s="10">
        <f t="shared" ca="1" si="18"/>
        <v>46106.913759606483</v>
      </c>
      <c r="Q214" s="11">
        <f t="shared" si="19"/>
        <v>11</v>
      </c>
      <c r="R214" s="11">
        <f t="shared" si="20"/>
        <v>28</v>
      </c>
      <c r="S214" s="13" t="str">
        <f t="shared" si="16"/>
        <v>high-value</v>
      </c>
    </row>
    <row r="215" spans="1:19" ht="15.75" customHeight="1" x14ac:dyDescent="0.45">
      <c r="A215" s="4" t="s">
        <v>362</v>
      </c>
      <c r="B215" s="5">
        <v>45707</v>
      </c>
      <c r="C215" s="4" t="s">
        <v>44</v>
      </c>
      <c r="D215" s="4" t="s">
        <v>45</v>
      </c>
      <c r="E215" s="4" t="s">
        <v>46</v>
      </c>
      <c r="F215" s="4" t="s">
        <v>47</v>
      </c>
      <c r="G215" s="4" t="s">
        <v>48</v>
      </c>
      <c r="H215" s="4">
        <v>3</v>
      </c>
      <c r="I215" s="4">
        <v>149.99</v>
      </c>
      <c r="J215" s="4" t="s">
        <v>36</v>
      </c>
      <c r="K215" s="4" t="s">
        <v>23</v>
      </c>
      <c r="L215" s="4" t="s">
        <v>38</v>
      </c>
      <c r="M215" s="5">
        <v>44633</v>
      </c>
      <c r="N215" s="4">
        <v>449.97</v>
      </c>
      <c r="O215" s="9">
        <f t="shared" ca="1" si="17"/>
        <v>46106</v>
      </c>
      <c r="P215" s="10">
        <f t="shared" ca="1" si="18"/>
        <v>46106.913759606483</v>
      </c>
      <c r="Q215" s="11">
        <f t="shared" si="19"/>
        <v>35</v>
      </c>
      <c r="R215" s="11">
        <f t="shared" si="20"/>
        <v>28</v>
      </c>
      <c r="S215" s="13" t="str">
        <f t="shared" si="16"/>
        <v>normal</v>
      </c>
    </row>
    <row r="216" spans="1:19" ht="15.75" customHeight="1" x14ac:dyDescent="0.45">
      <c r="A216" s="4" t="s">
        <v>363</v>
      </c>
      <c r="B216" s="5">
        <v>45708</v>
      </c>
      <c r="C216" s="4" t="s">
        <v>98</v>
      </c>
      <c r="D216" s="4" t="s">
        <v>99</v>
      </c>
      <c r="E216" s="4" t="s">
        <v>63</v>
      </c>
      <c r="F216" s="4" t="s">
        <v>64</v>
      </c>
      <c r="G216" s="4" t="s">
        <v>21</v>
      </c>
      <c r="H216" s="4">
        <v>3</v>
      </c>
      <c r="I216" s="4">
        <v>899.99</v>
      </c>
      <c r="J216" s="4" t="s">
        <v>22</v>
      </c>
      <c r="K216" s="4" t="s">
        <v>65</v>
      </c>
      <c r="L216" s="4" t="s">
        <v>38</v>
      </c>
      <c r="M216" s="5">
        <v>44613</v>
      </c>
      <c r="N216" s="4">
        <v>2699.97</v>
      </c>
      <c r="O216" s="9">
        <f t="shared" ca="1" si="17"/>
        <v>46106</v>
      </c>
      <c r="P216" s="10">
        <f t="shared" ca="1" si="18"/>
        <v>46106.913759606483</v>
      </c>
      <c r="Q216" s="11">
        <f t="shared" si="19"/>
        <v>35</v>
      </c>
      <c r="R216" s="11">
        <f t="shared" si="20"/>
        <v>28</v>
      </c>
      <c r="S216" s="13" t="str">
        <f t="shared" si="16"/>
        <v>high-value</v>
      </c>
    </row>
    <row r="217" spans="1:19" ht="15.75" customHeight="1" x14ac:dyDescent="0.45">
      <c r="A217" s="4" t="s">
        <v>364</v>
      </c>
      <c r="B217" s="5">
        <v>45708</v>
      </c>
      <c r="C217" s="4" t="s">
        <v>194</v>
      </c>
      <c r="D217" s="4" t="s">
        <v>195</v>
      </c>
      <c r="E217" s="4" t="s">
        <v>128</v>
      </c>
      <c r="F217" s="4" t="s">
        <v>129</v>
      </c>
      <c r="G217" s="4" t="s">
        <v>48</v>
      </c>
      <c r="H217" s="4">
        <v>3</v>
      </c>
      <c r="I217" s="4">
        <v>199.99</v>
      </c>
      <c r="J217" s="4" t="s">
        <v>22</v>
      </c>
      <c r="K217" s="4" t="s">
        <v>52</v>
      </c>
      <c r="L217" s="4" t="s">
        <v>29</v>
      </c>
      <c r="M217" s="5">
        <v>44823</v>
      </c>
      <c r="N217" s="4">
        <v>599.97</v>
      </c>
      <c r="O217" s="9">
        <f t="shared" ca="1" si="17"/>
        <v>46106</v>
      </c>
      <c r="P217" s="10">
        <f t="shared" ca="1" si="18"/>
        <v>46106.913759606483</v>
      </c>
      <c r="Q217" s="11">
        <f t="shared" si="19"/>
        <v>29</v>
      </c>
      <c r="R217" s="11">
        <f t="shared" si="20"/>
        <v>28</v>
      </c>
      <c r="S217" s="13" t="str">
        <f t="shared" si="16"/>
        <v>normal</v>
      </c>
    </row>
    <row r="218" spans="1:19" ht="15.75" customHeight="1" x14ac:dyDescent="0.45">
      <c r="A218" s="4" t="s">
        <v>365</v>
      </c>
      <c r="B218" s="5">
        <v>45710</v>
      </c>
      <c r="C218" s="4" t="s">
        <v>57</v>
      </c>
      <c r="D218" s="4" t="s">
        <v>58</v>
      </c>
      <c r="E218" s="4" t="s">
        <v>107</v>
      </c>
      <c r="F218" s="4" t="s">
        <v>108</v>
      </c>
      <c r="G218" s="4" t="s">
        <v>48</v>
      </c>
      <c r="H218" s="4">
        <v>5</v>
      </c>
      <c r="I218" s="4">
        <v>299.99</v>
      </c>
      <c r="J218" s="4" t="s">
        <v>22</v>
      </c>
      <c r="K218" s="4" t="s">
        <v>52</v>
      </c>
      <c r="L218" s="4" t="s">
        <v>38</v>
      </c>
      <c r="M218" s="5">
        <v>45142</v>
      </c>
      <c r="N218" s="4">
        <v>1499.95</v>
      </c>
      <c r="O218" s="9">
        <f t="shared" ca="1" si="17"/>
        <v>46106</v>
      </c>
      <c r="P218" s="10">
        <f t="shared" ca="1" si="18"/>
        <v>46106.913759606483</v>
      </c>
      <c r="Q218" s="11">
        <f t="shared" si="19"/>
        <v>18</v>
      </c>
      <c r="R218" s="11">
        <f t="shared" si="20"/>
        <v>28</v>
      </c>
      <c r="S218" s="13" t="str">
        <f t="shared" si="16"/>
        <v>normal</v>
      </c>
    </row>
    <row r="219" spans="1:19" ht="15.75" customHeight="1" x14ac:dyDescent="0.45">
      <c r="A219" s="4" t="s">
        <v>366</v>
      </c>
      <c r="B219" s="5">
        <v>45710</v>
      </c>
      <c r="C219" s="4" t="s">
        <v>152</v>
      </c>
      <c r="D219" s="4" t="s">
        <v>153</v>
      </c>
      <c r="E219" s="4" t="s">
        <v>82</v>
      </c>
      <c r="F219" s="4" t="s">
        <v>83</v>
      </c>
      <c r="G219" s="4" t="s">
        <v>21</v>
      </c>
      <c r="H219" s="4">
        <v>1</v>
      </c>
      <c r="I219" s="4">
        <v>699.99</v>
      </c>
      <c r="J219" s="4" t="s">
        <v>36</v>
      </c>
      <c r="K219" s="4" t="s">
        <v>52</v>
      </c>
      <c r="L219" s="4" t="s">
        <v>24</v>
      </c>
      <c r="M219" s="5">
        <v>44934</v>
      </c>
      <c r="N219" s="4">
        <v>699.99</v>
      </c>
      <c r="O219" s="9">
        <f t="shared" ca="1" si="17"/>
        <v>46106</v>
      </c>
      <c r="P219" s="10">
        <f t="shared" ca="1" si="18"/>
        <v>46106.913759606483</v>
      </c>
      <c r="Q219" s="11">
        <f t="shared" si="19"/>
        <v>25</v>
      </c>
      <c r="R219" s="11">
        <f t="shared" si="20"/>
        <v>28</v>
      </c>
      <c r="S219" s="13" t="str">
        <f t="shared" si="16"/>
        <v>normal</v>
      </c>
    </row>
    <row r="220" spans="1:19" ht="15.75" customHeight="1" x14ac:dyDescent="0.45">
      <c r="A220" s="4" t="s">
        <v>367</v>
      </c>
      <c r="B220" s="5">
        <v>45711</v>
      </c>
      <c r="C220" s="4" t="s">
        <v>248</v>
      </c>
      <c r="D220" s="4" t="s">
        <v>249</v>
      </c>
      <c r="E220" s="4" t="s">
        <v>82</v>
      </c>
      <c r="F220" s="4" t="s">
        <v>83</v>
      </c>
      <c r="G220" s="4" t="s">
        <v>21</v>
      </c>
      <c r="H220" s="4">
        <v>1</v>
      </c>
      <c r="I220" s="4">
        <v>699.99</v>
      </c>
      <c r="J220" s="4" t="s">
        <v>22</v>
      </c>
      <c r="K220" s="4" t="s">
        <v>42</v>
      </c>
      <c r="L220" s="4" t="s">
        <v>29</v>
      </c>
      <c r="M220" s="5">
        <v>44583</v>
      </c>
      <c r="N220" s="4">
        <v>699.99</v>
      </c>
      <c r="O220" s="9">
        <f t="shared" ca="1" si="17"/>
        <v>46106</v>
      </c>
      <c r="P220" s="10">
        <f t="shared" ca="1" si="18"/>
        <v>46106.913759606483</v>
      </c>
      <c r="Q220" s="11">
        <f t="shared" si="19"/>
        <v>37</v>
      </c>
      <c r="R220" s="11">
        <f t="shared" si="20"/>
        <v>28</v>
      </c>
      <c r="S220" s="13" t="str">
        <f t="shared" si="16"/>
        <v>normal</v>
      </c>
    </row>
    <row r="221" spans="1:19" ht="15.75" customHeight="1" x14ac:dyDescent="0.45">
      <c r="A221" s="4" t="s">
        <v>368</v>
      </c>
      <c r="B221" s="5">
        <v>45711</v>
      </c>
      <c r="C221" s="4" t="s">
        <v>327</v>
      </c>
      <c r="D221" s="4" t="s">
        <v>328</v>
      </c>
      <c r="E221" s="4" t="s">
        <v>46</v>
      </c>
      <c r="F221" s="4" t="s">
        <v>47</v>
      </c>
      <c r="G221" s="4" t="s">
        <v>48</v>
      </c>
      <c r="H221" s="4">
        <v>4</v>
      </c>
      <c r="I221" s="4">
        <v>149.99</v>
      </c>
      <c r="J221" s="4" t="s">
        <v>36</v>
      </c>
      <c r="K221" s="4" t="s">
        <v>42</v>
      </c>
      <c r="L221" s="4" t="s">
        <v>29</v>
      </c>
      <c r="M221" s="5">
        <v>44412</v>
      </c>
      <c r="N221" s="4">
        <v>599.96</v>
      </c>
      <c r="O221" s="9">
        <f t="shared" ca="1" si="17"/>
        <v>46106</v>
      </c>
      <c r="P221" s="10">
        <f t="shared" ca="1" si="18"/>
        <v>46106.913759606483</v>
      </c>
      <c r="Q221" s="11">
        <f t="shared" si="19"/>
        <v>42</v>
      </c>
      <c r="R221" s="11">
        <f t="shared" si="20"/>
        <v>28</v>
      </c>
      <c r="S221" s="13" t="str">
        <f t="shared" si="16"/>
        <v>normal</v>
      </c>
    </row>
    <row r="222" spans="1:19" ht="15.75" customHeight="1" x14ac:dyDescent="0.45">
      <c r="A222" s="4" t="s">
        <v>369</v>
      </c>
      <c r="B222" s="5">
        <v>45711</v>
      </c>
      <c r="C222" s="4" t="s">
        <v>213</v>
      </c>
      <c r="D222" s="4" t="s">
        <v>214</v>
      </c>
      <c r="E222" s="4" t="s">
        <v>119</v>
      </c>
      <c r="F222" s="4" t="s">
        <v>120</v>
      </c>
      <c r="G222" s="4" t="s">
        <v>21</v>
      </c>
      <c r="H222" s="4">
        <v>5</v>
      </c>
      <c r="I222" s="4">
        <v>89.99</v>
      </c>
      <c r="J222" s="4" t="s">
        <v>36</v>
      </c>
      <c r="K222" s="4" t="s">
        <v>52</v>
      </c>
      <c r="L222" s="4" t="s">
        <v>29</v>
      </c>
      <c r="M222" s="5">
        <v>45140</v>
      </c>
      <c r="N222" s="4">
        <v>449.95</v>
      </c>
      <c r="O222" s="9">
        <f t="shared" ca="1" si="17"/>
        <v>46106</v>
      </c>
      <c r="P222" s="10">
        <f t="shared" ca="1" si="18"/>
        <v>46106.913759606483</v>
      </c>
      <c r="Q222" s="11">
        <f t="shared" si="19"/>
        <v>18</v>
      </c>
      <c r="R222" s="11">
        <f t="shared" si="20"/>
        <v>28</v>
      </c>
      <c r="S222" s="13" t="str">
        <f t="shared" si="16"/>
        <v>normal</v>
      </c>
    </row>
    <row r="223" spans="1:19" ht="15.75" customHeight="1" x14ac:dyDescent="0.45">
      <c r="A223" s="4" t="s">
        <v>370</v>
      </c>
      <c r="B223" s="5">
        <v>45712</v>
      </c>
      <c r="C223" s="4" t="s">
        <v>140</v>
      </c>
      <c r="D223" s="4" t="s">
        <v>141</v>
      </c>
      <c r="E223" s="4" t="s">
        <v>128</v>
      </c>
      <c r="F223" s="4" t="s">
        <v>129</v>
      </c>
      <c r="G223" s="4" t="s">
        <v>48</v>
      </c>
      <c r="H223" s="4">
        <v>2</v>
      </c>
      <c r="I223" s="4">
        <v>199.99</v>
      </c>
      <c r="J223" s="4" t="s">
        <v>22</v>
      </c>
      <c r="K223" s="4" t="s">
        <v>23</v>
      </c>
      <c r="L223" s="4" t="s">
        <v>29</v>
      </c>
      <c r="M223" s="5">
        <v>44573</v>
      </c>
      <c r="N223" s="4">
        <v>399.98</v>
      </c>
      <c r="O223" s="9">
        <f t="shared" ca="1" si="17"/>
        <v>46106</v>
      </c>
      <c r="P223" s="10">
        <f t="shared" ca="1" si="18"/>
        <v>46106.913759606483</v>
      </c>
      <c r="Q223" s="11">
        <f t="shared" si="19"/>
        <v>37</v>
      </c>
      <c r="R223" s="11">
        <f t="shared" si="20"/>
        <v>28</v>
      </c>
      <c r="S223" s="13" t="str">
        <f t="shared" si="16"/>
        <v>normal</v>
      </c>
    </row>
    <row r="224" spans="1:19" ht="15.75" customHeight="1" x14ac:dyDescent="0.45">
      <c r="A224" s="4" t="s">
        <v>371</v>
      </c>
      <c r="B224" s="5">
        <v>45715</v>
      </c>
      <c r="C224" s="4" t="s">
        <v>261</v>
      </c>
      <c r="D224" s="4" t="s">
        <v>262</v>
      </c>
      <c r="E224" s="4" t="s">
        <v>33</v>
      </c>
      <c r="F224" s="4" t="s">
        <v>34</v>
      </c>
      <c r="G224" s="4" t="s">
        <v>35</v>
      </c>
      <c r="H224" s="4">
        <v>4</v>
      </c>
      <c r="I224" s="4">
        <v>59.99</v>
      </c>
      <c r="J224" s="4" t="s">
        <v>22</v>
      </c>
      <c r="K224" s="4" t="s">
        <v>52</v>
      </c>
      <c r="L224" s="4" t="s">
        <v>38</v>
      </c>
      <c r="M224" s="5">
        <v>45070</v>
      </c>
      <c r="N224" s="4">
        <v>239.96</v>
      </c>
      <c r="O224" s="9">
        <f t="shared" ca="1" si="17"/>
        <v>46106</v>
      </c>
      <c r="P224" s="10">
        <f t="shared" ca="1" si="18"/>
        <v>46106.913759606483</v>
      </c>
      <c r="Q224" s="11">
        <f t="shared" si="19"/>
        <v>21</v>
      </c>
      <c r="R224" s="11">
        <f t="shared" si="20"/>
        <v>28</v>
      </c>
      <c r="S224" s="13" t="str">
        <f t="shared" si="16"/>
        <v>normal</v>
      </c>
    </row>
    <row r="225" spans="1:19" ht="15.75" customHeight="1" x14ac:dyDescent="0.45">
      <c r="A225" s="4" t="s">
        <v>372</v>
      </c>
      <c r="B225" s="5">
        <v>45715</v>
      </c>
      <c r="C225" s="4" t="s">
        <v>95</v>
      </c>
      <c r="D225" s="4" t="s">
        <v>96</v>
      </c>
      <c r="E225" s="4" t="s">
        <v>107</v>
      </c>
      <c r="F225" s="4" t="s">
        <v>108</v>
      </c>
      <c r="G225" s="4" t="s">
        <v>48</v>
      </c>
      <c r="H225" s="4">
        <v>2</v>
      </c>
      <c r="I225" s="4">
        <v>299.99</v>
      </c>
      <c r="J225" s="4" t="s">
        <v>36</v>
      </c>
      <c r="K225" s="4" t="s">
        <v>37</v>
      </c>
      <c r="L225" s="4" t="s">
        <v>24</v>
      </c>
      <c r="M225" s="5">
        <v>44576</v>
      </c>
      <c r="N225" s="4">
        <v>599.98</v>
      </c>
      <c r="O225" s="9">
        <f t="shared" ca="1" si="17"/>
        <v>46106</v>
      </c>
      <c r="P225" s="10">
        <f t="shared" ca="1" si="18"/>
        <v>46106.913759606483</v>
      </c>
      <c r="Q225" s="11">
        <f t="shared" si="19"/>
        <v>37</v>
      </c>
      <c r="R225" s="11">
        <f t="shared" si="20"/>
        <v>28</v>
      </c>
      <c r="S225" s="13" t="str">
        <f t="shared" si="16"/>
        <v>normal</v>
      </c>
    </row>
    <row r="226" spans="1:19" ht="15.75" customHeight="1" x14ac:dyDescent="0.45">
      <c r="A226" s="4" t="s">
        <v>373</v>
      </c>
      <c r="B226" s="5">
        <v>45718</v>
      </c>
      <c r="C226" s="4" t="s">
        <v>57</v>
      </c>
      <c r="D226" s="4" t="s">
        <v>58</v>
      </c>
      <c r="E226" s="4" t="s">
        <v>46</v>
      </c>
      <c r="F226" s="4" t="s">
        <v>47</v>
      </c>
      <c r="G226" s="4" t="s">
        <v>48</v>
      </c>
      <c r="H226" s="4">
        <v>2</v>
      </c>
      <c r="I226" s="4">
        <v>149.99</v>
      </c>
      <c r="J226" s="4" t="s">
        <v>22</v>
      </c>
      <c r="K226" s="4" t="s">
        <v>23</v>
      </c>
      <c r="L226" s="4" t="s">
        <v>24</v>
      </c>
      <c r="M226" s="5">
        <v>45068</v>
      </c>
      <c r="N226" s="4">
        <v>299.98</v>
      </c>
      <c r="O226" s="9">
        <f t="shared" ca="1" si="17"/>
        <v>46106</v>
      </c>
      <c r="P226" s="10">
        <f t="shared" ca="1" si="18"/>
        <v>46106.913759606483</v>
      </c>
      <c r="Q226" s="11">
        <f t="shared" si="19"/>
        <v>21</v>
      </c>
      <c r="R226" s="11">
        <f t="shared" si="20"/>
        <v>31</v>
      </c>
      <c r="S226" s="13" t="str">
        <f t="shared" si="16"/>
        <v>normal</v>
      </c>
    </row>
    <row r="227" spans="1:19" ht="15.75" customHeight="1" x14ac:dyDescent="0.45">
      <c r="A227" s="4" t="s">
        <v>374</v>
      </c>
      <c r="B227" s="5">
        <v>45720</v>
      </c>
      <c r="C227" s="4" t="s">
        <v>228</v>
      </c>
      <c r="D227" s="4" t="s">
        <v>229</v>
      </c>
      <c r="E227" s="4" t="s">
        <v>82</v>
      </c>
      <c r="F227" s="4" t="s">
        <v>83</v>
      </c>
      <c r="G227" s="4" t="s">
        <v>21</v>
      </c>
      <c r="H227" s="4">
        <v>5</v>
      </c>
      <c r="I227" s="4">
        <v>699.99</v>
      </c>
      <c r="J227" s="4" t="s">
        <v>59</v>
      </c>
      <c r="K227" s="4" t="s">
        <v>65</v>
      </c>
      <c r="L227" s="4" t="s">
        <v>29</v>
      </c>
      <c r="M227" s="5">
        <v>45161</v>
      </c>
      <c r="N227" s="4">
        <v>3499.95</v>
      </c>
      <c r="O227" s="9">
        <f t="shared" ca="1" si="17"/>
        <v>46106</v>
      </c>
      <c r="P227" s="10">
        <f t="shared" ca="1" si="18"/>
        <v>46106.913759606483</v>
      </c>
      <c r="Q227" s="11">
        <f t="shared" si="19"/>
        <v>18</v>
      </c>
      <c r="R227" s="11">
        <f t="shared" si="20"/>
        <v>31</v>
      </c>
      <c r="S227" s="13" t="str">
        <f t="shared" si="16"/>
        <v>high-value</v>
      </c>
    </row>
    <row r="228" spans="1:19" ht="15.75" customHeight="1" x14ac:dyDescent="0.45">
      <c r="A228" s="4" t="s">
        <v>375</v>
      </c>
      <c r="B228" s="5">
        <v>45721</v>
      </c>
      <c r="C228" s="4" t="s">
        <v>77</v>
      </c>
      <c r="D228" s="4" t="s">
        <v>78</v>
      </c>
      <c r="E228" s="4" t="s">
        <v>33</v>
      </c>
      <c r="F228" s="4" t="s">
        <v>34</v>
      </c>
      <c r="G228" s="4" t="s">
        <v>35</v>
      </c>
      <c r="H228" s="4">
        <v>5</v>
      </c>
      <c r="I228" s="4">
        <v>59.99</v>
      </c>
      <c r="J228" s="4" t="s">
        <v>22</v>
      </c>
      <c r="K228" s="4" t="s">
        <v>52</v>
      </c>
      <c r="L228" s="4" t="s">
        <v>29</v>
      </c>
      <c r="M228" s="5">
        <v>45291</v>
      </c>
      <c r="N228" s="4">
        <v>299.95</v>
      </c>
      <c r="O228" s="9">
        <f t="shared" ca="1" si="17"/>
        <v>46106</v>
      </c>
      <c r="P228" s="10">
        <f t="shared" ca="1" si="18"/>
        <v>46106.913759606483</v>
      </c>
      <c r="Q228" s="11">
        <f t="shared" si="19"/>
        <v>14</v>
      </c>
      <c r="R228" s="11">
        <f t="shared" si="20"/>
        <v>31</v>
      </c>
      <c r="S228" s="13" t="str">
        <f t="shared" si="16"/>
        <v>normal</v>
      </c>
    </row>
    <row r="229" spans="1:19" ht="15.75" customHeight="1" x14ac:dyDescent="0.45">
      <c r="A229" s="4" t="s">
        <v>376</v>
      </c>
      <c r="B229" s="5">
        <v>45723</v>
      </c>
      <c r="C229" s="4" t="s">
        <v>17</v>
      </c>
      <c r="D229" s="4" t="s">
        <v>18</v>
      </c>
      <c r="E229" s="4" t="s">
        <v>119</v>
      </c>
      <c r="F229" s="4" t="s">
        <v>120</v>
      </c>
      <c r="G229" s="4" t="s">
        <v>21</v>
      </c>
      <c r="H229" s="4">
        <v>2</v>
      </c>
      <c r="I229" s="4">
        <v>89.99</v>
      </c>
      <c r="J229" s="4" t="s">
        <v>28</v>
      </c>
      <c r="K229" s="4" t="s">
        <v>52</v>
      </c>
      <c r="L229" s="4" t="s">
        <v>29</v>
      </c>
      <c r="M229" s="5">
        <v>45295</v>
      </c>
      <c r="N229" s="4">
        <v>179.98</v>
      </c>
      <c r="O229" s="9">
        <f t="shared" ca="1" si="17"/>
        <v>46106</v>
      </c>
      <c r="P229" s="10">
        <f t="shared" ca="1" si="18"/>
        <v>46106.913759606483</v>
      </c>
      <c r="Q229" s="11">
        <f t="shared" si="19"/>
        <v>14</v>
      </c>
      <c r="R229" s="11">
        <f t="shared" si="20"/>
        <v>31</v>
      </c>
      <c r="S229" s="13" t="str">
        <f t="shared" si="16"/>
        <v>normal</v>
      </c>
    </row>
    <row r="230" spans="1:19" ht="15.75" customHeight="1" x14ac:dyDescent="0.45">
      <c r="A230" s="4" t="s">
        <v>377</v>
      </c>
      <c r="B230" s="5">
        <v>45723</v>
      </c>
      <c r="C230" s="4" t="s">
        <v>122</v>
      </c>
      <c r="D230" s="4" t="s">
        <v>123</v>
      </c>
      <c r="E230" s="4" t="s">
        <v>19</v>
      </c>
      <c r="F230" s="4" t="s">
        <v>20</v>
      </c>
      <c r="G230" s="4" t="s">
        <v>21</v>
      </c>
      <c r="H230" s="4">
        <v>5</v>
      </c>
      <c r="I230" s="4">
        <v>249.99</v>
      </c>
      <c r="J230" s="4" t="s">
        <v>22</v>
      </c>
      <c r="K230" s="4" t="s">
        <v>65</v>
      </c>
      <c r="L230" s="4" t="s">
        <v>38</v>
      </c>
      <c r="M230" s="5">
        <v>44540</v>
      </c>
      <c r="N230" s="4">
        <v>1249.95</v>
      </c>
      <c r="O230" s="9">
        <f t="shared" ca="1" si="17"/>
        <v>46106</v>
      </c>
      <c r="P230" s="10">
        <f t="shared" ca="1" si="18"/>
        <v>46106.913759606483</v>
      </c>
      <c r="Q230" s="11">
        <f t="shared" si="19"/>
        <v>38</v>
      </c>
      <c r="R230" s="11">
        <f t="shared" si="20"/>
        <v>31</v>
      </c>
      <c r="S230" s="13" t="str">
        <f t="shared" si="16"/>
        <v>normal</v>
      </c>
    </row>
    <row r="231" spans="1:19" ht="15.75" customHeight="1" x14ac:dyDescent="0.45">
      <c r="A231" s="4" t="s">
        <v>378</v>
      </c>
      <c r="B231" s="5">
        <v>45724</v>
      </c>
      <c r="C231" s="4" t="s">
        <v>228</v>
      </c>
      <c r="D231" s="4" t="s">
        <v>229</v>
      </c>
      <c r="E231" s="4" t="s">
        <v>46</v>
      </c>
      <c r="F231" s="4" t="s">
        <v>47</v>
      </c>
      <c r="G231" s="4" t="s">
        <v>48</v>
      </c>
      <c r="H231" s="4">
        <v>2</v>
      </c>
      <c r="I231" s="4">
        <v>149.99</v>
      </c>
      <c r="J231" s="4" t="s">
        <v>36</v>
      </c>
      <c r="K231" s="4" t="s">
        <v>23</v>
      </c>
      <c r="L231" s="4" t="s">
        <v>29</v>
      </c>
      <c r="M231" s="5">
        <v>44632</v>
      </c>
      <c r="N231" s="4">
        <v>299.98</v>
      </c>
      <c r="O231" s="9">
        <f t="shared" ca="1" si="17"/>
        <v>46106</v>
      </c>
      <c r="P231" s="10">
        <f t="shared" ca="1" si="18"/>
        <v>46106.913759606483</v>
      </c>
      <c r="Q231" s="11">
        <f t="shared" si="19"/>
        <v>35</v>
      </c>
      <c r="R231" s="11">
        <f t="shared" si="20"/>
        <v>31</v>
      </c>
      <c r="S231" s="13" t="str">
        <f t="shared" si="16"/>
        <v>normal</v>
      </c>
    </row>
    <row r="232" spans="1:19" ht="15.75" customHeight="1" x14ac:dyDescent="0.45">
      <c r="A232" s="4" t="s">
        <v>379</v>
      </c>
      <c r="B232" s="5">
        <v>45724</v>
      </c>
      <c r="C232" s="4" t="s">
        <v>146</v>
      </c>
      <c r="D232" s="4" t="s">
        <v>147</v>
      </c>
      <c r="E232" s="4" t="s">
        <v>63</v>
      </c>
      <c r="F232" s="4" t="s">
        <v>64</v>
      </c>
      <c r="G232" s="4" t="s">
        <v>21</v>
      </c>
      <c r="H232" s="4">
        <v>5</v>
      </c>
      <c r="I232" s="4">
        <v>899.99</v>
      </c>
      <c r="J232" s="4" t="s">
        <v>36</v>
      </c>
      <c r="K232" s="4" t="s">
        <v>65</v>
      </c>
      <c r="L232" s="4" t="s">
        <v>29</v>
      </c>
      <c r="M232" s="5">
        <v>45389</v>
      </c>
      <c r="N232" s="4">
        <v>4499.95</v>
      </c>
      <c r="O232" s="9">
        <f t="shared" ca="1" si="17"/>
        <v>46106</v>
      </c>
      <c r="P232" s="10">
        <f t="shared" ca="1" si="18"/>
        <v>46106.913759606483</v>
      </c>
      <c r="Q232" s="11">
        <f t="shared" si="19"/>
        <v>11</v>
      </c>
      <c r="R232" s="11">
        <f t="shared" si="20"/>
        <v>31</v>
      </c>
      <c r="S232" s="13" t="str">
        <f t="shared" si="16"/>
        <v>high-value</v>
      </c>
    </row>
    <row r="233" spans="1:19" ht="15.75" customHeight="1" x14ac:dyDescent="0.45">
      <c r="A233" s="4" t="s">
        <v>380</v>
      </c>
      <c r="B233" s="5">
        <v>45724</v>
      </c>
      <c r="C233" s="4" t="s">
        <v>57</v>
      </c>
      <c r="D233" s="4" t="s">
        <v>58</v>
      </c>
      <c r="E233" s="4" t="s">
        <v>46</v>
      </c>
      <c r="F233" s="4" t="s">
        <v>47</v>
      </c>
      <c r="G233" s="4" t="s">
        <v>48</v>
      </c>
      <c r="H233" s="4">
        <v>4</v>
      </c>
      <c r="I233" s="4">
        <v>149.99</v>
      </c>
      <c r="J233" s="4" t="s">
        <v>22</v>
      </c>
      <c r="K233" s="4" t="s">
        <v>23</v>
      </c>
      <c r="L233" s="4" t="s">
        <v>38</v>
      </c>
      <c r="M233" s="5">
        <v>45263</v>
      </c>
      <c r="N233" s="4">
        <v>599.96</v>
      </c>
      <c r="O233" s="9">
        <f t="shared" ca="1" si="17"/>
        <v>46106</v>
      </c>
      <c r="P233" s="10">
        <f t="shared" ca="1" si="18"/>
        <v>46106.913759606483</v>
      </c>
      <c r="Q233" s="11">
        <f t="shared" si="19"/>
        <v>15</v>
      </c>
      <c r="R233" s="11">
        <f t="shared" si="20"/>
        <v>31</v>
      </c>
      <c r="S233" s="13" t="str">
        <f t="shared" si="16"/>
        <v>normal</v>
      </c>
    </row>
    <row r="234" spans="1:19" ht="15.75" customHeight="1" x14ac:dyDescent="0.45">
      <c r="A234" s="4" t="s">
        <v>381</v>
      </c>
      <c r="B234" s="5">
        <v>45726</v>
      </c>
      <c r="C234" s="4" t="s">
        <v>146</v>
      </c>
      <c r="D234" s="4" t="s">
        <v>147</v>
      </c>
      <c r="E234" s="4" t="s">
        <v>19</v>
      </c>
      <c r="F234" s="4" t="s">
        <v>20</v>
      </c>
      <c r="G234" s="4" t="s">
        <v>21</v>
      </c>
      <c r="H234" s="4">
        <v>1</v>
      </c>
      <c r="I234" s="4">
        <v>249.99</v>
      </c>
      <c r="J234" s="4" t="s">
        <v>22</v>
      </c>
      <c r="K234" s="4" t="s">
        <v>42</v>
      </c>
      <c r="L234" s="4" t="s">
        <v>38</v>
      </c>
      <c r="M234" s="5">
        <v>45117</v>
      </c>
      <c r="N234" s="4">
        <v>249.99</v>
      </c>
      <c r="O234" s="9">
        <f t="shared" ca="1" si="17"/>
        <v>46106</v>
      </c>
      <c r="P234" s="10">
        <f t="shared" ca="1" si="18"/>
        <v>46106.913759606483</v>
      </c>
      <c r="Q234" s="11">
        <f t="shared" si="19"/>
        <v>20</v>
      </c>
      <c r="R234" s="11">
        <f t="shared" si="20"/>
        <v>31</v>
      </c>
      <c r="S234" s="13" t="str">
        <f t="shared" si="16"/>
        <v>normal</v>
      </c>
    </row>
    <row r="235" spans="1:19" ht="15.75" customHeight="1" x14ac:dyDescent="0.45">
      <c r="A235" s="4" t="s">
        <v>382</v>
      </c>
      <c r="B235" s="5">
        <v>45734</v>
      </c>
      <c r="C235" s="4" t="s">
        <v>194</v>
      </c>
      <c r="D235" s="4" t="s">
        <v>195</v>
      </c>
      <c r="E235" s="4" t="s">
        <v>33</v>
      </c>
      <c r="F235" s="4" t="s">
        <v>34</v>
      </c>
      <c r="G235" s="4" t="s">
        <v>35</v>
      </c>
      <c r="H235" s="4">
        <v>2</v>
      </c>
      <c r="I235" s="4">
        <v>59.99</v>
      </c>
      <c r="J235" s="4" t="s">
        <v>28</v>
      </c>
      <c r="K235" s="4" t="s">
        <v>52</v>
      </c>
      <c r="L235" s="4" t="s">
        <v>24</v>
      </c>
      <c r="M235" s="5">
        <v>45193</v>
      </c>
      <c r="N235" s="4">
        <v>119.98</v>
      </c>
      <c r="O235" s="9">
        <f t="shared" ca="1" si="17"/>
        <v>46106</v>
      </c>
      <c r="P235" s="10">
        <f t="shared" ca="1" si="18"/>
        <v>46106.913759606483</v>
      </c>
      <c r="Q235" s="11">
        <f t="shared" si="19"/>
        <v>17</v>
      </c>
      <c r="R235" s="11">
        <f t="shared" si="20"/>
        <v>31</v>
      </c>
      <c r="S235" s="13" t="str">
        <f t="shared" si="16"/>
        <v>normal</v>
      </c>
    </row>
    <row r="236" spans="1:19" ht="15.75" customHeight="1" x14ac:dyDescent="0.45">
      <c r="A236" s="4" t="s">
        <v>383</v>
      </c>
      <c r="B236" s="5">
        <v>45737</v>
      </c>
      <c r="C236" s="4" t="s">
        <v>134</v>
      </c>
      <c r="D236" s="4" t="s">
        <v>135</v>
      </c>
      <c r="E236" s="4" t="s">
        <v>46</v>
      </c>
      <c r="F236" s="4" t="s">
        <v>47</v>
      </c>
      <c r="G236" s="4" t="s">
        <v>48</v>
      </c>
      <c r="H236" s="4">
        <v>2</v>
      </c>
      <c r="I236" s="4">
        <v>149.99</v>
      </c>
      <c r="J236" s="4" t="s">
        <v>22</v>
      </c>
      <c r="K236" s="4" t="s">
        <v>52</v>
      </c>
      <c r="L236" s="4" t="s">
        <v>29</v>
      </c>
      <c r="M236" s="5">
        <v>45233</v>
      </c>
      <c r="N236" s="4">
        <v>299.98</v>
      </c>
      <c r="O236" s="9">
        <f t="shared" ca="1" si="17"/>
        <v>46106</v>
      </c>
      <c r="P236" s="10">
        <f t="shared" ca="1" si="18"/>
        <v>46106.913759606483</v>
      </c>
      <c r="Q236" s="11">
        <f t="shared" si="19"/>
        <v>16</v>
      </c>
      <c r="R236" s="11">
        <f t="shared" si="20"/>
        <v>31</v>
      </c>
      <c r="S236" s="13" t="str">
        <f t="shared" si="16"/>
        <v>normal</v>
      </c>
    </row>
    <row r="237" spans="1:19" ht="15.75" customHeight="1" x14ac:dyDescent="0.45">
      <c r="A237" s="4" t="s">
        <v>384</v>
      </c>
      <c r="B237" s="5">
        <v>45737</v>
      </c>
      <c r="C237" s="4" t="s">
        <v>152</v>
      </c>
      <c r="D237" s="4" t="s">
        <v>153</v>
      </c>
      <c r="E237" s="4" t="s">
        <v>63</v>
      </c>
      <c r="F237" s="4" t="s">
        <v>64</v>
      </c>
      <c r="G237" s="4" t="s">
        <v>21</v>
      </c>
      <c r="H237" s="4">
        <v>3</v>
      </c>
      <c r="I237" s="4">
        <v>899.99</v>
      </c>
      <c r="J237" s="4" t="s">
        <v>59</v>
      </c>
      <c r="K237" s="4" t="s">
        <v>42</v>
      </c>
      <c r="L237" s="4" t="s">
        <v>29</v>
      </c>
      <c r="M237" s="5">
        <v>44876</v>
      </c>
      <c r="N237" s="4">
        <v>2699.97</v>
      </c>
      <c r="O237" s="9">
        <f t="shared" ca="1" si="17"/>
        <v>46106</v>
      </c>
      <c r="P237" s="10">
        <f t="shared" ca="1" si="18"/>
        <v>46106.913759606483</v>
      </c>
      <c r="Q237" s="11">
        <f t="shared" si="19"/>
        <v>28</v>
      </c>
      <c r="R237" s="11">
        <f t="shared" si="20"/>
        <v>31</v>
      </c>
      <c r="S237" s="13" t="str">
        <f t="shared" si="16"/>
        <v>high-value</v>
      </c>
    </row>
    <row r="238" spans="1:19" ht="15.75" customHeight="1" x14ac:dyDescent="0.45">
      <c r="A238" s="4" t="s">
        <v>385</v>
      </c>
      <c r="B238" s="5">
        <v>45737</v>
      </c>
      <c r="C238" s="4" t="s">
        <v>50</v>
      </c>
      <c r="D238" s="4" t="s">
        <v>51</v>
      </c>
      <c r="E238" s="4" t="s">
        <v>63</v>
      </c>
      <c r="F238" s="4" t="s">
        <v>64</v>
      </c>
      <c r="G238" s="4" t="s">
        <v>21</v>
      </c>
      <c r="H238" s="4">
        <v>3</v>
      </c>
      <c r="I238" s="4">
        <v>899.99</v>
      </c>
      <c r="J238" s="4" t="s">
        <v>36</v>
      </c>
      <c r="K238" s="4" t="s">
        <v>42</v>
      </c>
      <c r="L238" s="4" t="s">
        <v>24</v>
      </c>
      <c r="M238" s="5">
        <v>44975</v>
      </c>
      <c r="N238" s="4">
        <v>2699.97</v>
      </c>
      <c r="O238" s="9">
        <f t="shared" ca="1" si="17"/>
        <v>46106</v>
      </c>
      <c r="P238" s="10">
        <f t="shared" ca="1" si="18"/>
        <v>46106.913759606483</v>
      </c>
      <c r="Q238" s="11">
        <f t="shared" si="19"/>
        <v>25</v>
      </c>
      <c r="R238" s="11">
        <f t="shared" si="20"/>
        <v>31</v>
      </c>
      <c r="S238" s="13" t="str">
        <f t="shared" si="16"/>
        <v>high-value</v>
      </c>
    </row>
    <row r="239" spans="1:19" ht="15.75" customHeight="1" x14ac:dyDescent="0.45">
      <c r="A239" s="4" t="s">
        <v>386</v>
      </c>
      <c r="B239" s="5">
        <v>45739</v>
      </c>
      <c r="C239" s="4" t="s">
        <v>17</v>
      </c>
      <c r="D239" s="4" t="s">
        <v>18</v>
      </c>
      <c r="E239" s="4" t="s">
        <v>107</v>
      </c>
      <c r="F239" s="4" t="s">
        <v>108</v>
      </c>
      <c r="G239" s="4" t="s">
        <v>48</v>
      </c>
      <c r="H239" s="4">
        <v>3</v>
      </c>
      <c r="I239" s="4">
        <v>299.99</v>
      </c>
      <c r="J239" s="4" t="s">
        <v>28</v>
      </c>
      <c r="K239" s="4" t="s">
        <v>52</v>
      </c>
      <c r="L239" s="4" t="s">
        <v>29</v>
      </c>
      <c r="M239" s="5">
        <v>45234</v>
      </c>
      <c r="N239" s="4">
        <v>899.97</v>
      </c>
      <c r="O239" s="9">
        <f t="shared" ca="1" si="17"/>
        <v>46106</v>
      </c>
      <c r="P239" s="10">
        <f t="shared" ca="1" si="18"/>
        <v>46106.913759606483</v>
      </c>
      <c r="Q239" s="11">
        <f t="shared" si="19"/>
        <v>16</v>
      </c>
      <c r="R239" s="11">
        <f t="shared" si="20"/>
        <v>31</v>
      </c>
      <c r="S239" s="13" t="str">
        <f t="shared" si="16"/>
        <v>normal</v>
      </c>
    </row>
    <row r="240" spans="1:19" ht="15.75" customHeight="1" x14ac:dyDescent="0.45">
      <c r="A240" s="4" t="s">
        <v>387</v>
      </c>
      <c r="B240" s="5">
        <v>45740</v>
      </c>
      <c r="C240" s="4" t="s">
        <v>388</v>
      </c>
      <c r="D240" s="4" t="s">
        <v>389</v>
      </c>
      <c r="E240" s="4" t="s">
        <v>46</v>
      </c>
      <c r="F240" s="4" t="s">
        <v>47</v>
      </c>
      <c r="G240" s="4" t="s">
        <v>48</v>
      </c>
      <c r="H240" s="4">
        <v>4</v>
      </c>
      <c r="I240" s="4">
        <v>149.99</v>
      </c>
      <c r="J240" s="4" t="s">
        <v>36</v>
      </c>
      <c r="K240" s="4" t="s">
        <v>52</v>
      </c>
      <c r="L240" s="4" t="s">
        <v>38</v>
      </c>
      <c r="M240" s="5">
        <v>44560</v>
      </c>
      <c r="N240" s="4">
        <v>599.96</v>
      </c>
      <c r="O240" s="9">
        <f t="shared" ca="1" si="17"/>
        <v>46106</v>
      </c>
      <c r="P240" s="10">
        <f t="shared" ca="1" si="18"/>
        <v>46106.913759606483</v>
      </c>
      <c r="Q240" s="11">
        <f t="shared" si="19"/>
        <v>38</v>
      </c>
      <c r="R240" s="11">
        <f t="shared" si="20"/>
        <v>31</v>
      </c>
      <c r="S240" s="13" t="str">
        <f t="shared" si="16"/>
        <v>normal</v>
      </c>
    </row>
    <row r="241" spans="1:19" ht="15.75" customHeight="1" x14ac:dyDescent="0.45">
      <c r="A241" s="4" t="s">
        <v>390</v>
      </c>
      <c r="B241" s="5">
        <v>45743</v>
      </c>
      <c r="C241" s="4" t="s">
        <v>104</v>
      </c>
      <c r="D241" s="4" t="s">
        <v>105</v>
      </c>
      <c r="E241" s="4" t="s">
        <v>116</v>
      </c>
      <c r="F241" s="4" t="s">
        <v>117</v>
      </c>
      <c r="G241" s="4" t="s">
        <v>35</v>
      </c>
      <c r="H241" s="4">
        <v>4</v>
      </c>
      <c r="I241" s="4">
        <v>79.989999999999995</v>
      </c>
      <c r="J241" s="4" t="s">
        <v>28</v>
      </c>
      <c r="K241" s="4" t="s">
        <v>23</v>
      </c>
      <c r="L241" s="4" t="s">
        <v>24</v>
      </c>
      <c r="M241" s="5">
        <v>45288</v>
      </c>
      <c r="N241" s="4">
        <v>319.95999999999998</v>
      </c>
      <c r="O241" s="9">
        <f t="shared" ca="1" si="17"/>
        <v>46106</v>
      </c>
      <c r="P241" s="10">
        <f t="shared" ca="1" si="18"/>
        <v>46106.913759606483</v>
      </c>
      <c r="Q241" s="11">
        <f t="shared" si="19"/>
        <v>14</v>
      </c>
      <c r="R241" s="11">
        <f t="shared" si="20"/>
        <v>31</v>
      </c>
      <c r="S241" s="13" t="str">
        <f t="shared" si="16"/>
        <v>normal</v>
      </c>
    </row>
    <row r="242" spans="1:19" ht="15.75" customHeight="1" x14ac:dyDescent="0.45">
      <c r="A242" s="4" t="s">
        <v>391</v>
      </c>
      <c r="B242" s="5">
        <v>45745</v>
      </c>
      <c r="C242" s="4" t="s">
        <v>187</v>
      </c>
      <c r="D242" s="4" t="s">
        <v>188</v>
      </c>
      <c r="E242" s="4" t="s">
        <v>119</v>
      </c>
      <c r="F242" s="4" t="s">
        <v>120</v>
      </c>
      <c r="G242" s="4" t="s">
        <v>21</v>
      </c>
      <c r="H242" s="4">
        <v>5</v>
      </c>
      <c r="I242" s="4">
        <v>89.99</v>
      </c>
      <c r="J242" s="4" t="s">
        <v>36</v>
      </c>
      <c r="K242" s="4" t="s">
        <v>37</v>
      </c>
      <c r="L242" s="4" t="s">
        <v>24</v>
      </c>
      <c r="M242" s="5">
        <v>44704</v>
      </c>
      <c r="N242" s="4">
        <v>449.95</v>
      </c>
      <c r="O242" s="9">
        <f t="shared" ca="1" si="17"/>
        <v>46106</v>
      </c>
      <c r="P242" s="10">
        <f t="shared" ca="1" si="18"/>
        <v>46106.913759606483</v>
      </c>
      <c r="Q242" s="11">
        <f t="shared" si="19"/>
        <v>34</v>
      </c>
      <c r="R242" s="11">
        <f t="shared" si="20"/>
        <v>31</v>
      </c>
      <c r="S242" s="13" t="str">
        <f t="shared" si="16"/>
        <v>normal</v>
      </c>
    </row>
    <row r="243" spans="1:19" ht="15.75" customHeight="1" x14ac:dyDescent="0.45">
      <c r="A243" s="4" t="s">
        <v>392</v>
      </c>
      <c r="B243" s="5">
        <v>45746</v>
      </c>
      <c r="C243" s="4" t="s">
        <v>95</v>
      </c>
      <c r="D243" s="4" t="s">
        <v>96</v>
      </c>
      <c r="E243" s="4" t="s">
        <v>46</v>
      </c>
      <c r="F243" s="4" t="s">
        <v>47</v>
      </c>
      <c r="G243" s="4" t="s">
        <v>48</v>
      </c>
      <c r="H243" s="4">
        <v>3</v>
      </c>
      <c r="I243" s="4">
        <v>149.99</v>
      </c>
      <c r="J243" s="4" t="s">
        <v>36</v>
      </c>
      <c r="K243" s="4" t="s">
        <v>23</v>
      </c>
      <c r="L243" s="4" t="s">
        <v>38</v>
      </c>
      <c r="M243" s="5">
        <v>45171</v>
      </c>
      <c r="N243" s="4">
        <v>449.97</v>
      </c>
      <c r="O243" s="9">
        <f t="shared" ca="1" si="17"/>
        <v>46106</v>
      </c>
      <c r="P243" s="10">
        <f t="shared" ca="1" si="18"/>
        <v>46106.913759606483</v>
      </c>
      <c r="Q243" s="11">
        <f t="shared" si="19"/>
        <v>18</v>
      </c>
      <c r="R243" s="11">
        <f t="shared" si="20"/>
        <v>31</v>
      </c>
      <c r="S243" s="13" t="str">
        <f t="shared" si="16"/>
        <v>normal</v>
      </c>
    </row>
    <row r="244" spans="1:19" ht="15.75" customHeight="1" x14ac:dyDescent="0.45">
      <c r="A244" s="4" t="s">
        <v>393</v>
      </c>
      <c r="B244" s="5">
        <v>45746</v>
      </c>
      <c r="C244" s="4" t="s">
        <v>67</v>
      </c>
      <c r="D244" s="4" t="s">
        <v>68</v>
      </c>
      <c r="E244" s="4" t="s">
        <v>119</v>
      </c>
      <c r="F244" s="4" t="s">
        <v>120</v>
      </c>
      <c r="G244" s="4" t="s">
        <v>21</v>
      </c>
      <c r="H244" s="4">
        <v>2</v>
      </c>
      <c r="I244" s="4">
        <v>89.99</v>
      </c>
      <c r="J244" s="4" t="s">
        <v>59</v>
      </c>
      <c r="K244" s="4" t="s">
        <v>52</v>
      </c>
      <c r="L244" s="4" t="s">
        <v>29</v>
      </c>
      <c r="M244" s="5">
        <v>44522</v>
      </c>
      <c r="N244" s="4">
        <v>179.98</v>
      </c>
      <c r="O244" s="9">
        <f t="shared" ca="1" si="17"/>
        <v>46106</v>
      </c>
      <c r="P244" s="10">
        <f t="shared" ca="1" si="18"/>
        <v>46106.913759606483</v>
      </c>
      <c r="Q244" s="11">
        <f t="shared" si="19"/>
        <v>40</v>
      </c>
      <c r="R244" s="11">
        <f t="shared" si="20"/>
        <v>31</v>
      </c>
      <c r="S244" s="13" t="str">
        <f t="shared" si="16"/>
        <v>normal</v>
      </c>
    </row>
    <row r="245" spans="1:19" ht="15.75" customHeight="1" x14ac:dyDescent="0.45">
      <c r="A245" s="4" t="s">
        <v>394</v>
      </c>
      <c r="B245" s="5">
        <v>45748</v>
      </c>
      <c r="C245" s="4" t="s">
        <v>104</v>
      </c>
      <c r="D245" s="4" t="s">
        <v>105</v>
      </c>
      <c r="E245" s="4" t="s">
        <v>82</v>
      </c>
      <c r="F245" s="4" t="s">
        <v>83</v>
      </c>
      <c r="G245" s="4" t="s">
        <v>21</v>
      </c>
      <c r="H245" s="4">
        <v>2</v>
      </c>
      <c r="I245" s="4">
        <v>699.99</v>
      </c>
      <c r="J245" s="4" t="s">
        <v>36</v>
      </c>
      <c r="K245" s="4" t="s">
        <v>42</v>
      </c>
      <c r="L245" s="4" t="s">
        <v>38</v>
      </c>
      <c r="M245" s="5">
        <v>44618</v>
      </c>
      <c r="N245" s="4">
        <v>1399.98</v>
      </c>
      <c r="O245" s="9">
        <f t="shared" ca="1" si="17"/>
        <v>46106</v>
      </c>
      <c r="P245" s="10">
        <f t="shared" ca="1" si="18"/>
        <v>46106.913759606483</v>
      </c>
      <c r="Q245" s="11">
        <f t="shared" si="19"/>
        <v>37</v>
      </c>
      <c r="R245" s="11">
        <f t="shared" si="20"/>
        <v>30</v>
      </c>
      <c r="S245" s="13" t="str">
        <f t="shared" si="16"/>
        <v>normal</v>
      </c>
    </row>
    <row r="246" spans="1:19" ht="15.75" customHeight="1" x14ac:dyDescent="0.45">
      <c r="A246" s="4" t="s">
        <v>395</v>
      </c>
      <c r="B246" s="5">
        <v>45749</v>
      </c>
      <c r="C246" s="4" t="s">
        <v>125</v>
      </c>
      <c r="D246" s="4" t="s">
        <v>126</v>
      </c>
      <c r="E246" s="4" t="s">
        <v>63</v>
      </c>
      <c r="F246" s="4" t="s">
        <v>64</v>
      </c>
      <c r="G246" s="4" t="s">
        <v>21</v>
      </c>
      <c r="H246" s="4">
        <v>3</v>
      </c>
      <c r="I246" s="4">
        <v>899.99</v>
      </c>
      <c r="J246" s="4" t="s">
        <v>22</v>
      </c>
      <c r="K246" s="4" t="s">
        <v>23</v>
      </c>
      <c r="L246" s="4" t="s">
        <v>38</v>
      </c>
      <c r="M246" s="5">
        <v>44953</v>
      </c>
      <c r="N246" s="4">
        <v>2699.97</v>
      </c>
      <c r="O246" s="9">
        <f t="shared" ca="1" si="17"/>
        <v>46106</v>
      </c>
      <c r="P246" s="10">
        <f t="shared" ca="1" si="18"/>
        <v>46106.913759606483</v>
      </c>
      <c r="Q246" s="11">
        <f t="shared" si="19"/>
        <v>26</v>
      </c>
      <c r="R246" s="11">
        <f t="shared" si="20"/>
        <v>30</v>
      </c>
      <c r="S246" s="13" t="str">
        <f t="shared" si="16"/>
        <v>high-value</v>
      </c>
    </row>
    <row r="247" spans="1:19" ht="15.75" customHeight="1" x14ac:dyDescent="0.45">
      <c r="A247" s="4" t="s">
        <v>396</v>
      </c>
      <c r="B247" s="5">
        <v>45755</v>
      </c>
      <c r="C247" s="4" t="s">
        <v>95</v>
      </c>
      <c r="D247" s="4" t="s">
        <v>96</v>
      </c>
      <c r="E247" s="4" t="s">
        <v>116</v>
      </c>
      <c r="F247" s="4" t="s">
        <v>117</v>
      </c>
      <c r="G247" s="4" t="s">
        <v>35</v>
      </c>
      <c r="H247" s="4">
        <v>3</v>
      </c>
      <c r="I247" s="4">
        <v>79.989999999999995</v>
      </c>
      <c r="J247" s="4" t="s">
        <v>28</v>
      </c>
      <c r="K247" s="4" t="s">
        <v>42</v>
      </c>
      <c r="L247" s="4" t="s">
        <v>24</v>
      </c>
      <c r="M247" s="5">
        <v>44511</v>
      </c>
      <c r="N247" s="4">
        <v>239.97</v>
      </c>
      <c r="O247" s="9">
        <f t="shared" ca="1" si="17"/>
        <v>46106</v>
      </c>
      <c r="P247" s="10">
        <f t="shared" ca="1" si="18"/>
        <v>46106.913759606483</v>
      </c>
      <c r="Q247" s="11">
        <f t="shared" si="19"/>
        <v>40</v>
      </c>
      <c r="R247" s="11">
        <f t="shared" si="20"/>
        <v>30</v>
      </c>
      <c r="S247" s="13" t="str">
        <f t="shared" si="16"/>
        <v>normal</v>
      </c>
    </row>
    <row r="248" spans="1:19" ht="15.75" customHeight="1" x14ac:dyDescent="0.45">
      <c r="A248" s="4" t="s">
        <v>397</v>
      </c>
      <c r="B248" s="5">
        <v>45756</v>
      </c>
      <c r="C248" s="4" t="s">
        <v>61</v>
      </c>
      <c r="D248" s="4" t="s">
        <v>62</v>
      </c>
      <c r="E248" s="4" t="s">
        <v>119</v>
      </c>
      <c r="F248" s="4" t="s">
        <v>120</v>
      </c>
      <c r="G248" s="4" t="s">
        <v>21</v>
      </c>
      <c r="H248" s="4">
        <v>1</v>
      </c>
      <c r="I248" s="4">
        <v>89.99</v>
      </c>
      <c r="J248" s="4" t="s">
        <v>59</v>
      </c>
      <c r="K248" s="4" t="s">
        <v>65</v>
      </c>
      <c r="L248" s="4" t="s">
        <v>24</v>
      </c>
      <c r="M248" s="5">
        <v>45346</v>
      </c>
      <c r="N248" s="4">
        <v>89.99</v>
      </c>
      <c r="O248" s="9">
        <f t="shared" ca="1" si="17"/>
        <v>46106</v>
      </c>
      <c r="P248" s="10">
        <f t="shared" ca="1" si="18"/>
        <v>46106.913759606483</v>
      </c>
      <c r="Q248" s="11">
        <f t="shared" si="19"/>
        <v>13</v>
      </c>
      <c r="R248" s="11">
        <f t="shared" si="20"/>
        <v>30</v>
      </c>
      <c r="S248" s="13" t="str">
        <f t="shared" si="16"/>
        <v>normal</v>
      </c>
    </row>
    <row r="249" spans="1:19" ht="15.75" customHeight="1" x14ac:dyDescent="0.45">
      <c r="A249" s="4" t="s">
        <v>398</v>
      </c>
      <c r="B249" s="5">
        <v>45758</v>
      </c>
      <c r="C249" s="4" t="s">
        <v>295</v>
      </c>
      <c r="D249" s="4" t="s">
        <v>296</v>
      </c>
      <c r="E249" s="4" t="s">
        <v>82</v>
      </c>
      <c r="F249" s="4" t="s">
        <v>83</v>
      </c>
      <c r="G249" s="4" t="s">
        <v>21</v>
      </c>
      <c r="H249" s="4">
        <v>3</v>
      </c>
      <c r="I249" s="4">
        <v>699.99</v>
      </c>
      <c r="J249" s="4" t="s">
        <v>36</v>
      </c>
      <c r="K249" s="4" t="s">
        <v>42</v>
      </c>
      <c r="L249" s="4" t="s">
        <v>24</v>
      </c>
      <c r="M249" s="5">
        <v>44909</v>
      </c>
      <c r="N249" s="4">
        <v>2099.9699999999998</v>
      </c>
      <c r="O249" s="9">
        <f t="shared" ca="1" si="17"/>
        <v>46106</v>
      </c>
      <c r="P249" s="10">
        <f t="shared" ca="1" si="18"/>
        <v>46106.913759606483</v>
      </c>
      <c r="Q249" s="11">
        <f t="shared" si="19"/>
        <v>27</v>
      </c>
      <c r="R249" s="11">
        <f t="shared" si="20"/>
        <v>30</v>
      </c>
      <c r="S249" s="13" t="str">
        <f t="shared" si="16"/>
        <v>high-value</v>
      </c>
    </row>
    <row r="250" spans="1:19" ht="15.75" customHeight="1" x14ac:dyDescent="0.45">
      <c r="A250" s="4" t="s">
        <v>399</v>
      </c>
      <c r="B250" s="5">
        <v>45758</v>
      </c>
      <c r="C250" s="4" t="s">
        <v>228</v>
      </c>
      <c r="D250" s="4" t="s">
        <v>229</v>
      </c>
      <c r="E250" s="4" t="s">
        <v>119</v>
      </c>
      <c r="F250" s="4" t="s">
        <v>120</v>
      </c>
      <c r="G250" s="4" t="s">
        <v>21</v>
      </c>
      <c r="H250" s="4">
        <v>2</v>
      </c>
      <c r="I250" s="4">
        <v>89.99</v>
      </c>
      <c r="J250" s="4" t="s">
        <v>59</v>
      </c>
      <c r="K250" s="4" t="s">
        <v>65</v>
      </c>
      <c r="L250" s="4" t="s">
        <v>24</v>
      </c>
      <c r="M250" s="5">
        <v>45088</v>
      </c>
      <c r="N250" s="4">
        <v>179.98</v>
      </c>
      <c r="O250" s="9">
        <f t="shared" ca="1" si="17"/>
        <v>46106</v>
      </c>
      <c r="P250" s="10">
        <f t="shared" ca="1" si="18"/>
        <v>46106.913759606483</v>
      </c>
      <c r="Q250" s="11">
        <f t="shared" si="19"/>
        <v>22</v>
      </c>
      <c r="R250" s="11">
        <f t="shared" si="20"/>
        <v>30</v>
      </c>
      <c r="S250" s="13" t="str">
        <f t="shared" si="16"/>
        <v>normal</v>
      </c>
    </row>
    <row r="251" spans="1:19" ht="15.75" customHeight="1" x14ac:dyDescent="0.45">
      <c r="A251" s="4" t="s">
        <v>400</v>
      </c>
      <c r="B251" s="5">
        <v>45758</v>
      </c>
      <c r="C251" s="4" t="s">
        <v>140</v>
      </c>
      <c r="D251" s="4" t="s">
        <v>141</v>
      </c>
      <c r="E251" s="4" t="s">
        <v>119</v>
      </c>
      <c r="F251" s="4" t="s">
        <v>120</v>
      </c>
      <c r="G251" s="4" t="s">
        <v>21</v>
      </c>
      <c r="H251" s="4">
        <v>3</v>
      </c>
      <c r="I251" s="4">
        <v>89.99</v>
      </c>
      <c r="J251" s="4" t="s">
        <v>59</v>
      </c>
      <c r="K251" s="4" t="s">
        <v>42</v>
      </c>
      <c r="L251" s="4" t="s">
        <v>29</v>
      </c>
      <c r="M251" s="5">
        <v>44878</v>
      </c>
      <c r="N251" s="4">
        <v>269.97000000000003</v>
      </c>
      <c r="O251" s="9">
        <f t="shared" ca="1" si="17"/>
        <v>46106</v>
      </c>
      <c r="P251" s="10">
        <f t="shared" ca="1" si="18"/>
        <v>46106.913759606483</v>
      </c>
      <c r="Q251" s="11">
        <f t="shared" si="19"/>
        <v>28</v>
      </c>
      <c r="R251" s="11">
        <f t="shared" si="20"/>
        <v>30</v>
      </c>
      <c r="S251" s="13" t="str">
        <f t="shared" si="16"/>
        <v>normal</v>
      </c>
    </row>
    <row r="252" spans="1:19" ht="15.75" customHeight="1" x14ac:dyDescent="0.45"/>
    <row r="253" spans="1:19" ht="15.75" customHeight="1" x14ac:dyDescent="0.45"/>
    <row r="254" spans="1:19" ht="15.75" customHeight="1" x14ac:dyDescent="0.45"/>
    <row r="255" spans="1:19" ht="15.75" customHeight="1" x14ac:dyDescent="0.45"/>
    <row r="256" spans="1:19"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conditionalFormatting sqref="N1:N1048576">
    <cfRule type="iconSet" priority="1">
      <iconSet iconSet="3Arrows">
        <cfvo type="percent" val="0"/>
        <cfvo type="percent" val="33"/>
        <cfvo type="percent" val="67"/>
      </iconSet>
    </cfRule>
  </conditionalFormatting>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738D3-4986-4831-A5FF-36B3EEB31564}">
  <dimension ref="A1:S47"/>
  <sheetViews>
    <sheetView topLeftCell="A2" zoomScale="90" zoomScaleNormal="90" workbookViewId="0">
      <selection activeCell="G33" sqref="G33"/>
    </sheetView>
  </sheetViews>
  <sheetFormatPr defaultRowHeight="14.25" x14ac:dyDescent="0.45"/>
  <cols>
    <col min="2" max="2" width="11.33203125" customWidth="1"/>
    <col min="3" max="3" width="8.06640625" customWidth="1"/>
    <col min="4" max="4" width="14" customWidth="1"/>
    <col min="5" max="5" width="4.796875" customWidth="1"/>
    <col min="6" max="6" width="12.06640625" customWidth="1"/>
    <col min="7" max="7" width="9.796875" customWidth="1"/>
    <col min="8" max="8" width="1.796875" customWidth="1"/>
    <col min="9" max="9" width="6.796875" customWidth="1"/>
    <col min="10" max="10" width="10.19921875" customWidth="1"/>
    <col min="12" max="12" width="8.33203125" customWidth="1"/>
    <col min="13" max="13" width="5.796875" customWidth="1"/>
    <col min="14" max="14" width="7.796875" customWidth="1"/>
    <col min="15" max="15" width="5.796875" customWidth="1"/>
    <col min="16" max="16" width="11.796875" customWidth="1"/>
    <col min="17" max="18" width="2.796875" customWidth="1"/>
    <col min="19" max="19" width="9.73046875" customWidth="1"/>
  </cols>
  <sheetData>
    <row r="1" spans="1:19" x14ac:dyDescent="0.45">
      <c r="A1" t="str" cm="1">
        <f t="array" aca="1" ref="A1:S47" ca="1">_xlfn._xlws.FILTER(SalesData[],SalesData[Region]="west")</f>
        <v>TRX0092</v>
      </c>
      <c r="B1">
        <f ca="1"/>
        <v>45403</v>
      </c>
      <c r="C1" t="str">
        <f ca="1"/>
        <v>CUST024</v>
      </c>
      <c r="D1" t="str">
        <f ca="1"/>
        <v>Dorothy Nelson</v>
      </c>
      <c r="E1" t="str">
        <f ca="1"/>
        <v>P005</v>
      </c>
      <c r="F1" t="str">
        <f ca="1"/>
        <v>Blender</v>
      </c>
      <c r="G1" t="str">
        <f ca="1"/>
        <v>Appliances</v>
      </c>
      <c r="H1">
        <f ca="1"/>
        <v>2</v>
      </c>
      <c r="I1">
        <f ca="1"/>
        <v>59.99</v>
      </c>
      <c r="J1" t="str">
        <f ca="1"/>
        <v>Cash</v>
      </c>
      <c r="K1" s="7" t="str">
        <f ca="1"/>
        <v>West</v>
      </c>
      <c r="L1" t="str">
        <f ca="1"/>
        <v>Standard</v>
      </c>
      <c r="M1">
        <f ca="1"/>
        <v>44746</v>
      </c>
      <c r="N1">
        <f ca="1"/>
        <v>119.98</v>
      </c>
      <c r="O1">
        <f ca="1"/>
        <v>46106</v>
      </c>
      <c r="P1">
        <f ca="1"/>
        <v>46106.913759606483</v>
      </c>
      <c r="Q1">
        <f ca="1"/>
        <v>21</v>
      </c>
      <c r="R1">
        <f ca="1"/>
        <v>30</v>
      </c>
      <c r="S1" t="str">
        <f ca="1"/>
        <v>normal</v>
      </c>
    </row>
    <row r="2" spans="1:19" x14ac:dyDescent="0.45">
      <c r="A2" t="str">
        <f ca="1"/>
        <v>TRX0185</v>
      </c>
      <c r="B2">
        <f ca="1"/>
        <v>45408</v>
      </c>
      <c r="C2" t="str">
        <f ca="1"/>
        <v>CUST026</v>
      </c>
      <c r="D2" t="str">
        <f ca="1"/>
        <v>Karen Hill</v>
      </c>
      <c r="E2" t="str">
        <f ca="1"/>
        <v>P005</v>
      </c>
      <c r="F2" t="str">
        <f ca="1"/>
        <v>Blender</v>
      </c>
      <c r="G2" t="str">
        <f ca="1"/>
        <v>Appliances</v>
      </c>
      <c r="H2">
        <f ca="1"/>
        <v>3</v>
      </c>
      <c r="I2">
        <f ca="1"/>
        <v>59.99</v>
      </c>
      <c r="J2" t="str">
        <f ca="1"/>
        <v>Cash</v>
      </c>
      <c r="K2" s="7" t="str">
        <f ca="1"/>
        <v>West</v>
      </c>
      <c r="L2" t="str">
        <f ca="1"/>
        <v>Premium</v>
      </c>
      <c r="M2">
        <f ca="1"/>
        <v>45207</v>
      </c>
      <c r="N2">
        <f ca="1"/>
        <v>179.97</v>
      </c>
      <c r="O2">
        <f ca="1"/>
        <v>46106</v>
      </c>
      <c r="P2">
        <f ca="1"/>
        <v>46106.913759606483</v>
      </c>
      <c r="Q2">
        <f ca="1"/>
        <v>6</v>
      </c>
      <c r="R2">
        <f ca="1"/>
        <v>30</v>
      </c>
      <c r="S2" t="str">
        <f ca="1"/>
        <v>normal</v>
      </c>
    </row>
    <row r="3" spans="1:19" x14ac:dyDescent="0.45">
      <c r="A3" t="str">
        <f ca="1"/>
        <v>TRX0138</v>
      </c>
      <c r="B3">
        <f ca="1"/>
        <v>45408</v>
      </c>
      <c r="C3" t="str">
        <f ca="1"/>
        <v>CUST022</v>
      </c>
      <c r="D3" t="str">
        <f ca="1"/>
        <v>Susan Green</v>
      </c>
      <c r="E3" t="str">
        <f ca="1"/>
        <v>P008</v>
      </c>
      <c r="F3" t="str">
        <f ca="1"/>
        <v>Bookshelf</v>
      </c>
      <c r="G3" t="str">
        <f ca="1"/>
        <v>Furniture</v>
      </c>
      <c r="H3">
        <f ca="1"/>
        <v>1</v>
      </c>
      <c r="I3">
        <f ca="1"/>
        <v>149.99</v>
      </c>
      <c r="J3" t="str">
        <f ca="1"/>
        <v>Credit Card</v>
      </c>
      <c r="K3" s="7" t="str">
        <f ca="1"/>
        <v>West</v>
      </c>
      <c r="L3" t="str">
        <f ca="1"/>
        <v>Standard</v>
      </c>
      <c r="M3">
        <f ca="1"/>
        <v>45103</v>
      </c>
      <c r="N3">
        <f ca="1"/>
        <v>149.99</v>
      </c>
      <c r="O3">
        <f ca="1"/>
        <v>46106</v>
      </c>
      <c r="P3">
        <f ca="1"/>
        <v>46106.913759606483</v>
      </c>
      <c r="Q3">
        <f ca="1"/>
        <v>10</v>
      </c>
      <c r="R3">
        <f ca="1"/>
        <v>30</v>
      </c>
      <c r="S3" t="str">
        <f ca="1"/>
        <v>normal</v>
      </c>
    </row>
    <row r="4" spans="1:19" x14ac:dyDescent="0.45">
      <c r="A4" t="str">
        <f ca="1"/>
        <v>TRX0191</v>
      </c>
      <c r="B4">
        <f ca="1"/>
        <v>45409</v>
      </c>
      <c r="C4" t="str">
        <f ca="1"/>
        <v>CUST038</v>
      </c>
      <c r="D4" t="str">
        <f ca="1"/>
        <v>Michelle Rogers</v>
      </c>
      <c r="E4" t="str">
        <f ca="1"/>
        <v>P002</v>
      </c>
      <c r="F4" t="str">
        <f ca="1"/>
        <v>Smartphone</v>
      </c>
      <c r="G4" t="str">
        <f ca="1"/>
        <v>Electronics</v>
      </c>
      <c r="H4">
        <f ca="1"/>
        <v>3</v>
      </c>
      <c r="I4">
        <f ca="1"/>
        <v>699.99</v>
      </c>
      <c r="J4" t="str">
        <f ca="1"/>
        <v>Credit Card</v>
      </c>
      <c r="K4" s="7" t="str">
        <f ca="1"/>
        <v>West</v>
      </c>
      <c r="L4" t="str">
        <f ca="1"/>
        <v>Basic</v>
      </c>
      <c r="M4">
        <f ca="1"/>
        <v>44577</v>
      </c>
      <c r="N4">
        <f ca="1"/>
        <v>2099.9699999999998</v>
      </c>
      <c r="O4">
        <f ca="1"/>
        <v>46106</v>
      </c>
      <c r="P4">
        <f ca="1"/>
        <v>46106.913759606483</v>
      </c>
      <c r="Q4">
        <f ca="1"/>
        <v>27</v>
      </c>
      <c r="R4">
        <f ca="1"/>
        <v>30</v>
      </c>
      <c r="S4" t="str">
        <f ca="1"/>
        <v>high-value</v>
      </c>
    </row>
    <row r="5" spans="1:19" x14ac:dyDescent="0.45">
      <c r="A5" t="str">
        <f ca="1"/>
        <v>TRX0122</v>
      </c>
      <c r="B5">
        <f ca="1"/>
        <v>45410</v>
      </c>
      <c r="C5" t="str">
        <f ca="1"/>
        <v>CUST025</v>
      </c>
      <c r="D5" t="str">
        <f ca="1"/>
        <v>Mark Carter</v>
      </c>
      <c r="E5" t="str">
        <f ca="1"/>
        <v>P001</v>
      </c>
      <c r="F5" t="str">
        <f ca="1"/>
        <v>Laptop</v>
      </c>
      <c r="G5" t="str">
        <f ca="1"/>
        <v>Electronics</v>
      </c>
      <c r="H5">
        <f ca="1"/>
        <v>4</v>
      </c>
      <c r="I5">
        <f ca="1"/>
        <v>899.99</v>
      </c>
      <c r="J5" t="str">
        <f ca="1"/>
        <v>Credit Card</v>
      </c>
      <c r="K5" s="7" t="str">
        <f ca="1"/>
        <v>West</v>
      </c>
      <c r="L5" t="str">
        <f ca="1"/>
        <v>Standard</v>
      </c>
      <c r="M5">
        <f ca="1"/>
        <v>45327</v>
      </c>
      <c r="N5">
        <f ca="1"/>
        <v>3599.96</v>
      </c>
      <c r="O5">
        <f ca="1"/>
        <v>46106</v>
      </c>
      <c r="P5">
        <f ca="1"/>
        <v>46106.913759606483</v>
      </c>
      <c r="Q5">
        <f ca="1"/>
        <v>2</v>
      </c>
      <c r="R5">
        <f ca="1"/>
        <v>30</v>
      </c>
      <c r="S5" t="str">
        <f ca="1"/>
        <v>high-value</v>
      </c>
    </row>
    <row r="6" spans="1:19" x14ac:dyDescent="0.45">
      <c r="A6" t="str">
        <f ca="1"/>
        <v>TRX0231</v>
      </c>
      <c r="B6">
        <f ca="1"/>
        <v>45412</v>
      </c>
      <c r="C6" t="str">
        <f ca="1"/>
        <v>CUST018</v>
      </c>
      <c r="D6" t="str">
        <f ca="1"/>
        <v>Barbara Young</v>
      </c>
      <c r="E6" t="str">
        <f ca="1"/>
        <v>P002</v>
      </c>
      <c r="F6" t="str">
        <f ca="1"/>
        <v>Smartphone</v>
      </c>
      <c r="G6" t="str">
        <f ca="1"/>
        <v>Electronics</v>
      </c>
      <c r="H6">
        <f ca="1"/>
        <v>5</v>
      </c>
      <c r="I6">
        <f ca="1"/>
        <v>699.99</v>
      </c>
      <c r="J6" t="str">
        <f ca="1"/>
        <v>Cash</v>
      </c>
      <c r="K6" s="7" t="str">
        <f ca="1"/>
        <v>West</v>
      </c>
      <c r="L6" t="str">
        <f ca="1"/>
        <v>Basic</v>
      </c>
      <c r="M6">
        <f ca="1"/>
        <v>45167</v>
      </c>
      <c r="N6">
        <f ca="1"/>
        <v>3499.95</v>
      </c>
      <c r="O6">
        <f ca="1"/>
        <v>46106</v>
      </c>
      <c r="P6">
        <f ca="1"/>
        <v>46106.913759606483</v>
      </c>
      <c r="Q6">
        <f ca="1"/>
        <v>8</v>
      </c>
      <c r="R6">
        <f ca="1"/>
        <v>30</v>
      </c>
      <c r="S6" t="str">
        <f ca="1"/>
        <v>high-value</v>
      </c>
    </row>
    <row r="7" spans="1:19" x14ac:dyDescent="0.45">
      <c r="A7" t="str">
        <f ca="1"/>
        <v>TRX0242</v>
      </c>
      <c r="B7">
        <f ca="1"/>
        <v>45416</v>
      </c>
      <c r="C7" t="str">
        <f ca="1"/>
        <v>CUST025</v>
      </c>
      <c r="D7" t="str">
        <f ca="1"/>
        <v>Mark Carter</v>
      </c>
      <c r="E7" t="str">
        <f ca="1"/>
        <v>P007</v>
      </c>
      <c r="F7" t="str">
        <f ca="1"/>
        <v>Desk</v>
      </c>
      <c r="G7" t="str">
        <f ca="1"/>
        <v>Furniture</v>
      </c>
      <c r="H7">
        <f ca="1"/>
        <v>4</v>
      </c>
      <c r="I7">
        <f ca="1"/>
        <v>299.99</v>
      </c>
      <c r="J7" t="str">
        <f ca="1"/>
        <v>Cash</v>
      </c>
      <c r="K7" s="7" t="str">
        <f ca="1"/>
        <v>West</v>
      </c>
      <c r="L7" t="str">
        <f ca="1"/>
        <v>Premium</v>
      </c>
      <c r="M7">
        <f ca="1"/>
        <v>44716</v>
      </c>
      <c r="N7">
        <f ca="1"/>
        <v>1199.96</v>
      </c>
      <c r="O7">
        <f ca="1"/>
        <v>46106</v>
      </c>
      <c r="P7">
        <f ca="1"/>
        <v>46106.913759606483</v>
      </c>
      <c r="Q7">
        <f ca="1"/>
        <v>23</v>
      </c>
      <c r="R7">
        <f ca="1"/>
        <v>31</v>
      </c>
      <c r="S7" t="str">
        <f ca="1"/>
        <v>normal</v>
      </c>
    </row>
    <row r="8" spans="1:19" x14ac:dyDescent="0.45">
      <c r="A8" t="str">
        <f ca="1"/>
        <v>TRX0071</v>
      </c>
      <c r="B8">
        <f ca="1"/>
        <v>45422</v>
      </c>
      <c r="C8" t="str">
        <f ca="1"/>
        <v>CUST036</v>
      </c>
      <c r="D8" t="str">
        <f ca="1"/>
        <v>Nancy Collins</v>
      </c>
      <c r="E8" t="str">
        <f ca="1"/>
        <v>P009</v>
      </c>
      <c r="F8" t="str">
        <f ca="1"/>
        <v>Monitor</v>
      </c>
      <c r="G8" t="str">
        <f ca="1"/>
        <v>Electronics</v>
      </c>
      <c r="H8">
        <f ca="1"/>
        <v>5</v>
      </c>
      <c r="I8">
        <f ca="1"/>
        <v>249.99</v>
      </c>
      <c r="J8" t="str">
        <f ca="1"/>
        <v>Credit Card</v>
      </c>
      <c r="K8" s="7" t="str">
        <f ca="1"/>
        <v>West</v>
      </c>
      <c r="L8" t="str">
        <f ca="1"/>
        <v>Standard</v>
      </c>
      <c r="M8">
        <f ca="1"/>
        <v>44525</v>
      </c>
      <c r="N8">
        <f ca="1"/>
        <v>1249.95</v>
      </c>
      <c r="O8">
        <f ca="1"/>
        <v>46106</v>
      </c>
      <c r="P8">
        <f ca="1"/>
        <v>46106.913759606483</v>
      </c>
      <c r="Q8">
        <f ca="1"/>
        <v>29</v>
      </c>
      <c r="R8">
        <f ca="1"/>
        <v>31</v>
      </c>
      <c r="S8" t="str">
        <f ca="1"/>
        <v>normal</v>
      </c>
    </row>
    <row r="9" spans="1:19" x14ac:dyDescent="0.45">
      <c r="A9" t="str">
        <f ca="1"/>
        <v>TRX0194</v>
      </c>
      <c r="B9">
        <f ca="1"/>
        <v>45428</v>
      </c>
      <c r="C9" t="str">
        <f ca="1"/>
        <v>CUST006</v>
      </c>
      <c r="D9" t="str">
        <f ca="1"/>
        <v>Lisa Anderson</v>
      </c>
      <c r="E9" t="str">
        <f ca="1"/>
        <v>P008</v>
      </c>
      <c r="F9" t="str">
        <f ca="1"/>
        <v>Bookshelf</v>
      </c>
      <c r="G9" t="str">
        <f ca="1"/>
        <v>Furniture</v>
      </c>
      <c r="H9">
        <f ca="1"/>
        <v>2</v>
      </c>
      <c r="I9">
        <f ca="1"/>
        <v>149.99</v>
      </c>
      <c r="J9" t="str">
        <f ca="1"/>
        <v>Credit Card</v>
      </c>
      <c r="K9" s="7" t="str">
        <f ca="1"/>
        <v>West</v>
      </c>
      <c r="L9" t="str">
        <f ca="1"/>
        <v>Basic</v>
      </c>
      <c r="M9">
        <f ca="1"/>
        <v>44823</v>
      </c>
      <c r="N9">
        <f ca="1"/>
        <v>299.98</v>
      </c>
      <c r="O9">
        <f ca="1"/>
        <v>46106</v>
      </c>
      <c r="P9">
        <f ca="1"/>
        <v>46106.913759606483</v>
      </c>
      <c r="Q9">
        <f ca="1"/>
        <v>19</v>
      </c>
      <c r="R9">
        <f ca="1"/>
        <v>31</v>
      </c>
      <c r="S9" t="str">
        <f ca="1"/>
        <v>normal</v>
      </c>
    </row>
    <row r="10" spans="1:19" x14ac:dyDescent="0.45">
      <c r="A10" t="str">
        <f ca="1"/>
        <v>TRX0130</v>
      </c>
      <c r="B10">
        <f ca="1"/>
        <v>45430</v>
      </c>
      <c r="C10" t="str">
        <f ca="1"/>
        <v>CUST002</v>
      </c>
      <c r="D10" t="str">
        <f ca="1"/>
        <v>Emma Wilson</v>
      </c>
      <c r="E10" t="str">
        <f ca="1"/>
        <v>P008</v>
      </c>
      <c r="F10" t="str">
        <f ca="1"/>
        <v>Bookshelf</v>
      </c>
      <c r="G10" t="str">
        <f ca="1"/>
        <v>Furniture</v>
      </c>
      <c r="H10">
        <f ca="1"/>
        <v>3</v>
      </c>
      <c r="I10">
        <f ca="1"/>
        <v>149.99</v>
      </c>
      <c r="J10" t="str">
        <f ca="1"/>
        <v>Credit Card</v>
      </c>
      <c r="K10" s="7" t="str">
        <f ca="1"/>
        <v>West</v>
      </c>
      <c r="L10" t="str">
        <f ca="1"/>
        <v>Premium</v>
      </c>
      <c r="M10">
        <f ca="1"/>
        <v>45068</v>
      </c>
      <c r="N10">
        <f ca="1"/>
        <v>449.97</v>
      </c>
      <c r="O10">
        <f ca="1"/>
        <v>46106</v>
      </c>
      <c r="P10">
        <f ca="1"/>
        <v>46106.913759606483</v>
      </c>
      <c r="Q10">
        <f ca="1"/>
        <v>11</v>
      </c>
      <c r="R10">
        <f ca="1"/>
        <v>31</v>
      </c>
      <c r="S10" t="str">
        <f ca="1"/>
        <v>normal</v>
      </c>
    </row>
    <row r="11" spans="1:19" x14ac:dyDescent="0.45">
      <c r="A11" t="str">
        <f ca="1"/>
        <v>TRX0041</v>
      </c>
      <c r="B11">
        <f ca="1"/>
        <v>45432</v>
      </c>
      <c r="C11" t="str">
        <f ca="1"/>
        <v>CUST021</v>
      </c>
      <c r="D11" t="str">
        <f ca="1"/>
        <v>Kevin Scott</v>
      </c>
      <c r="E11" t="str">
        <f ca="1"/>
        <v>P001</v>
      </c>
      <c r="F11" t="str">
        <f ca="1"/>
        <v>Laptop</v>
      </c>
      <c r="G11" t="str">
        <f ca="1"/>
        <v>Electronics</v>
      </c>
      <c r="H11">
        <f ca="1"/>
        <v>1</v>
      </c>
      <c r="I11">
        <f ca="1"/>
        <v>899.99</v>
      </c>
      <c r="J11" t="str">
        <f ca="1"/>
        <v>Credit Card</v>
      </c>
      <c r="K11" s="7" t="str">
        <f ca="1"/>
        <v>West</v>
      </c>
      <c r="L11" t="str">
        <f ca="1"/>
        <v>Premium</v>
      </c>
      <c r="M11">
        <f ca="1"/>
        <v>44578</v>
      </c>
      <c r="N11">
        <f ca="1"/>
        <v>899.99</v>
      </c>
      <c r="O11">
        <f ca="1"/>
        <v>46106</v>
      </c>
      <c r="P11">
        <f ca="1"/>
        <v>46106.913759606483</v>
      </c>
      <c r="Q11">
        <f ca="1"/>
        <v>28</v>
      </c>
      <c r="R11">
        <f ca="1"/>
        <v>31</v>
      </c>
      <c r="S11" t="str">
        <f ca="1"/>
        <v>normal</v>
      </c>
    </row>
    <row r="12" spans="1:19" x14ac:dyDescent="0.45">
      <c r="A12" t="str">
        <f ca="1"/>
        <v>TRX0015</v>
      </c>
      <c r="B12">
        <f ca="1"/>
        <v>45440</v>
      </c>
      <c r="C12" t="str">
        <f ca="1"/>
        <v>CUST008</v>
      </c>
      <c r="D12" t="str">
        <f ca="1"/>
        <v>Jennifer Taylor</v>
      </c>
      <c r="E12" t="str">
        <f ca="1"/>
        <v>P002</v>
      </c>
      <c r="F12" t="str">
        <f ca="1"/>
        <v>Smartphone</v>
      </c>
      <c r="G12" t="str">
        <f ca="1"/>
        <v>Electronics</v>
      </c>
      <c r="H12">
        <f ca="1"/>
        <v>5</v>
      </c>
      <c r="I12">
        <f ca="1"/>
        <v>699.99</v>
      </c>
      <c r="J12" t="str">
        <f ca="1"/>
        <v>PayPal</v>
      </c>
      <c r="K12" s="7" t="str">
        <f ca="1"/>
        <v>West</v>
      </c>
      <c r="L12" t="str">
        <f ca="1"/>
        <v>Standard</v>
      </c>
      <c r="M12">
        <f ca="1"/>
        <v>44407</v>
      </c>
      <c r="N12">
        <f ca="1"/>
        <v>3499.95</v>
      </c>
      <c r="O12">
        <f ca="1"/>
        <v>46106</v>
      </c>
      <c r="P12">
        <f ca="1"/>
        <v>46106.913759606483</v>
      </c>
      <c r="Q12">
        <f ca="1"/>
        <v>33</v>
      </c>
      <c r="R12">
        <f ca="1"/>
        <v>31</v>
      </c>
      <c r="S12" t="str">
        <f ca="1"/>
        <v>high-value</v>
      </c>
    </row>
    <row r="13" spans="1:19" x14ac:dyDescent="0.45">
      <c r="A13" t="str">
        <f ca="1"/>
        <v>TRX0128</v>
      </c>
      <c r="B13">
        <f ca="1"/>
        <v>45444</v>
      </c>
      <c r="C13" t="str">
        <f ca="1"/>
        <v>CUST040</v>
      </c>
      <c r="D13" t="str">
        <f ca="1"/>
        <v>Sharon Butler</v>
      </c>
      <c r="E13" t="str">
        <f ca="1"/>
        <v>P005</v>
      </c>
      <c r="F13" t="str">
        <f ca="1"/>
        <v>Blender</v>
      </c>
      <c r="G13" t="str">
        <f ca="1"/>
        <v>Appliances</v>
      </c>
      <c r="H13">
        <f ca="1"/>
        <v>2</v>
      </c>
      <c r="I13">
        <f ca="1"/>
        <v>59.99</v>
      </c>
      <c r="J13" t="str">
        <f ca="1"/>
        <v>Cash</v>
      </c>
      <c r="K13" s="7" t="str">
        <f ca="1"/>
        <v>West</v>
      </c>
      <c r="L13" t="str">
        <f ca="1"/>
        <v>Basic</v>
      </c>
      <c r="M13">
        <f ca="1"/>
        <v>45390</v>
      </c>
      <c r="N13">
        <f ca="1"/>
        <v>119.98</v>
      </c>
      <c r="O13">
        <f ca="1"/>
        <v>46106</v>
      </c>
      <c r="P13">
        <f ca="1"/>
        <v>46106.913759606483</v>
      </c>
      <c r="Q13">
        <f ca="1"/>
        <v>1</v>
      </c>
      <c r="R13">
        <f ca="1"/>
        <v>30</v>
      </c>
      <c r="S13" t="str">
        <f ca="1"/>
        <v>normal</v>
      </c>
    </row>
    <row r="14" spans="1:19" x14ac:dyDescent="0.45">
      <c r="A14" t="str">
        <f ca="1"/>
        <v>TRX0061</v>
      </c>
      <c r="B14">
        <f ca="1"/>
        <v>45460</v>
      </c>
      <c r="C14" t="str">
        <f ca="1"/>
        <v>CUST028</v>
      </c>
      <c r="D14" t="str">
        <f ca="1"/>
        <v>Betty Campbell</v>
      </c>
      <c r="E14" t="str">
        <f ca="1"/>
        <v>P005</v>
      </c>
      <c r="F14" t="str">
        <f ca="1"/>
        <v>Blender</v>
      </c>
      <c r="G14" t="str">
        <f ca="1"/>
        <v>Appliances</v>
      </c>
      <c r="H14">
        <f ca="1"/>
        <v>1</v>
      </c>
      <c r="I14">
        <f ca="1"/>
        <v>59.99</v>
      </c>
      <c r="J14" t="str">
        <f ca="1"/>
        <v>Debit Card</v>
      </c>
      <c r="K14" s="7" t="str">
        <f ca="1"/>
        <v>West</v>
      </c>
      <c r="L14" t="str">
        <f ca="1"/>
        <v>Premium</v>
      </c>
      <c r="M14">
        <f ca="1"/>
        <v>45190</v>
      </c>
      <c r="N14">
        <f ca="1"/>
        <v>59.99</v>
      </c>
      <c r="O14">
        <f ca="1"/>
        <v>46106</v>
      </c>
      <c r="P14">
        <f ca="1"/>
        <v>46106.913759606483</v>
      </c>
      <c r="Q14">
        <f ca="1"/>
        <v>8</v>
      </c>
      <c r="R14">
        <f ca="1"/>
        <v>30</v>
      </c>
      <c r="S14" t="str">
        <f ca="1"/>
        <v>normal</v>
      </c>
    </row>
    <row r="15" spans="1:19" x14ac:dyDescent="0.45">
      <c r="A15" t="str">
        <f ca="1"/>
        <v>TRX0007</v>
      </c>
      <c r="B15">
        <f ca="1"/>
        <v>45469</v>
      </c>
      <c r="C15" t="str">
        <f ca="1"/>
        <v>CUST009</v>
      </c>
      <c r="D15" t="str">
        <f ca="1"/>
        <v>Robert Thomas</v>
      </c>
      <c r="E15" t="str">
        <f ca="1"/>
        <v>P010</v>
      </c>
      <c r="F15" t="str">
        <f ca="1"/>
        <v>Keyboard</v>
      </c>
      <c r="G15" t="str">
        <f ca="1"/>
        <v>Electronics</v>
      </c>
      <c r="H15">
        <f ca="1"/>
        <v>2</v>
      </c>
      <c r="I15">
        <f ca="1"/>
        <v>89.99</v>
      </c>
      <c r="J15" t="str">
        <f ca="1"/>
        <v>Cash</v>
      </c>
      <c r="K15" s="7" t="str">
        <f ca="1"/>
        <v>West</v>
      </c>
      <c r="L15" t="str">
        <f ca="1"/>
        <v>Basic</v>
      </c>
      <c r="M15">
        <f ca="1"/>
        <v>44438</v>
      </c>
      <c r="N15">
        <f ca="1"/>
        <v>179.98</v>
      </c>
      <c r="O15">
        <f ca="1"/>
        <v>46106</v>
      </c>
      <c r="P15">
        <f ca="1"/>
        <v>46106.913759606483</v>
      </c>
      <c r="Q15">
        <f ca="1"/>
        <v>33</v>
      </c>
      <c r="R15">
        <f ca="1"/>
        <v>30</v>
      </c>
      <c r="S15" t="str">
        <f ca="1"/>
        <v>normal</v>
      </c>
    </row>
    <row r="16" spans="1:19" x14ac:dyDescent="0.45">
      <c r="A16" t="str">
        <f ca="1"/>
        <v>TRX0192</v>
      </c>
      <c r="B16">
        <f ca="1"/>
        <v>45475</v>
      </c>
      <c r="C16" t="str">
        <f ca="1"/>
        <v>CUST017</v>
      </c>
      <c r="D16" t="str">
        <f ca="1"/>
        <v>Charles Allen</v>
      </c>
      <c r="E16" t="str">
        <f ca="1"/>
        <v>P010</v>
      </c>
      <c r="F16" t="str">
        <f ca="1"/>
        <v>Keyboard</v>
      </c>
      <c r="G16" t="str">
        <f ca="1"/>
        <v>Electronics</v>
      </c>
      <c r="H16">
        <f ca="1"/>
        <v>1</v>
      </c>
      <c r="I16">
        <f ca="1"/>
        <v>89.99</v>
      </c>
      <c r="J16" t="str">
        <f ca="1"/>
        <v>PayPal</v>
      </c>
      <c r="K16" s="7" t="str">
        <f ca="1"/>
        <v>West</v>
      </c>
      <c r="L16" t="str">
        <f ca="1"/>
        <v>Standard</v>
      </c>
      <c r="M16">
        <f ca="1"/>
        <v>44802</v>
      </c>
      <c r="N16">
        <f ca="1"/>
        <v>89.99</v>
      </c>
      <c r="O16">
        <f ca="1"/>
        <v>46106</v>
      </c>
      <c r="P16">
        <f ca="1"/>
        <v>46106.913759606483</v>
      </c>
      <c r="Q16">
        <f ca="1"/>
        <v>22</v>
      </c>
      <c r="R16">
        <f ca="1"/>
        <v>31</v>
      </c>
      <c r="S16" t="str">
        <f ca="1"/>
        <v>normal</v>
      </c>
    </row>
    <row r="17" spans="1:19" x14ac:dyDescent="0.45">
      <c r="A17" t="str">
        <f ca="1"/>
        <v>TRX0169</v>
      </c>
      <c r="B17">
        <f ca="1"/>
        <v>45490</v>
      </c>
      <c r="C17" t="str">
        <f ca="1"/>
        <v>CUST047</v>
      </c>
      <c r="D17" t="str">
        <f ca="1"/>
        <v>Gerald Murphy</v>
      </c>
      <c r="E17" t="str">
        <f ca="1"/>
        <v>P005</v>
      </c>
      <c r="F17" t="str">
        <f ca="1"/>
        <v>Blender</v>
      </c>
      <c r="G17" t="str">
        <f ca="1"/>
        <v>Appliances</v>
      </c>
      <c r="H17">
        <f ca="1"/>
        <v>3</v>
      </c>
      <c r="I17">
        <f ca="1"/>
        <v>59.99</v>
      </c>
      <c r="J17" t="str">
        <f ca="1"/>
        <v>Credit Card</v>
      </c>
      <c r="K17" s="7" t="str">
        <f ca="1"/>
        <v>West</v>
      </c>
      <c r="L17" t="str">
        <f ca="1"/>
        <v>Basic</v>
      </c>
      <c r="M17">
        <f ca="1"/>
        <v>45130</v>
      </c>
      <c r="N17">
        <f ca="1"/>
        <v>179.97</v>
      </c>
      <c r="O17">
        <f ca="1"/>
        <v>46106</v>
      </c>
      <c r="P17">
        <f ca="1"/>
        <v>46106.913759606483</v>
      </c>
      <c r="Q17">
        <f ca="1"/>
        <v>11</v>
      </c>
      <c r="R17">
        <f ca="1"/>
        <v>31</v>
      </c>
      <c r="S17" t="str">
        <f ca="1"/>
        <v>normal</v>
      </c>
    </row>
    <row r="18" spans="1:19" x14ac:dyDescent="0.45">
      <c r="A18" t="str">
        <f ca="1"/>
        <v>TRX0065</v>
      </c>
      <c r="B18">
        <f ca="1"/>
        <v>45509</v>
      </c>
      <c r="C18" t="str">
        <f ca="1"/>
        <v>CUST016</v>
      </c>
      <c r="D18" t="str">
        <f ca="1"/>
        <v>Elizabeth Hall</v>
      </c>
      <c r="E18" t="str">
        <f ca="1"/>
        <v>P008</v>
      </c>
      <c r="F18" t="str">
        <f ca="1"/>
        <v>Bookshelf</v>
      </c>
      <c r="G18" t="str">
        <f ca="1"/>
        <v>Furniture</v>
      </c>
      <c r="H18">
        <f ca="1"/>
        <v>2</v>
      </c>
      <c r="I18">
        <f ca="1"/>
        <v>149.99</v>
      </c>
      <c r="J18" t="str">
        <f ca="1"/>
        <v>Credit Card</v>
      </c>
      <c r="K18" s="7" t="str">
        <f ca="1"/>
        <v>West</v>
      </c>
      <c r="L18" t="str">
        <f ca="1"/>
        <v>Basic</v>
      </c>
      <c r="M18">
        <f ca="1"/>
        <v>44542</v>
      </c>
      <c r="N18">
        <f ca="1"/>
        <v>299.98</v>
      </c>
      <c r="O18">
        <f ca="1"/>
        <v>46106</v>
      </c>
      <c r="P18">
        <f ca="1"/>
        <v>46106.913759606483</v>
      </c>
      <c r="Q18">
        <f ca="1"/>
        <v>31</v>
      </c>
      <c r="R18">
        <f ca="1"/>
        <v>31</v>
      </c>
      <c r="S18" t="str">
        <f ca="1"/>
        <v>normal</v>
      </c>
    </row>
    <row r="19" spans="1:19" x14ac:dyDescent="0.45">
      <c r="A19" t="str">
        <f ca="1"/>
        <v>TRX0170</v>
      </c>
      <c r="B19">
        <f ca="1"/>
        <v>45532</v>
      </c>
      <c r="C19" t="str">
        <f ca="1"/>
        <v>CUST034</v>
      </c>
      <c r="D19" t="str">
        <f ca="1"/>
        <v>Carol Evans</v>
      </c>
      <c r="E19" t="str">
        <f ca="1"/>
        <v>P003</v>
      </c>
      <c r="F19" t="str">
        <f ca="1"/>
        <v>Headphones</v>
      </c>
      <c r="G19" t="str">
        <f ca="1"/>
        <v>Electronics</v>
      </c>
      <c r="H19">
        <f ca="1"/>
        <v>3</v>
      </c>
      <c r="I19">
        <f ca="1"/>
        <v>149.99</v>
      </c>
      <c r="J19" t="str">
        <f ca="1"/>
        <v>Cash</v>
      </c>
      <c r="K19" s="7" t="str">
        <f ca="1"/>
        <v>West</v>
      </c>
      <c r="L19" t="str">
        <f ca="1"/>
        <v>Premium</v>
      </c>
      <c r="M19">
        <f ca="1"/>
        <v>45212</v>
      </c>
      <c r="N19">
        <f ca="1"/>
        <v>449.97</v>
      </c>
      <c r="O19">
        <f ca="1"/>
        <v>46106</v>
      </c>
      <c r="P19">
        <f ca="1"/>
        <v>46106.913759606483</v>
      </c>
      <c r="Q19">
        <f ca="1"/>
        <v>10</v>
      </c>
      <c r="R19">
        <f ca="1"/>
        <v>31</v>
      </c>
      <c r="S19" t="str">
        <f ca="1"/>
        <v>normal</v>
      </c>
    </row>
    <row r="20" spans="1:19" x14ac:dyDescent="0.45">
      <c r="A20" t="str">
        <f ca="1"/>
        <v>TRX0099</v>
      </c>
      <c r="B20">
        <f ca="1"/>
        <v>45537</v>
      </c>
      <c r="C20" t="str">
        <f ca="1"/>
        <v>CUST034</v>
      </c>
      <c r="D20" t="str">
        <f ca="1"/>
        <v>Carol Evans</v>
      </c>
      <c r="E20" t="str">
        <f ca="1"/>
        <v>P009</v>
      </c>
      <c r="F20" t="str">
        <f ca="1"/>
        <v>Monitor</v>
      </c>
      <c r="G20" t="str">
        <f ca="1"/>
        <v>Electronics</v>
      </c>
      <c r="H20">
        <f ca="1"/>
        <v>1</v>
      </c>
      <c r="I20">
        <f ca="1"/>
        <v>249.99</v>
      </c>
      <c r="J20" t="str">
        <f ca="1"/>
        <v>Credit Card</v>
      </c>
      <c r="K20" s="7" t="str">
        <f ca="1"/>
        <v>West</v>
      </c>
      <c r="L20" t="str">
        <f ca="1"/>
        <v>Premium</v>
      </c>
      <c r="M20">
        <f ca="1"/>
        <v>44685</v>
      </c>
      <c r="N20">
        <f ca="1"/>
        <v>249.99</v>
      </c>
      <c r="O20">
        <f ca="1"/>
        <v>46106</v>
      </c>
      <c r="P20">
        <f ca="1"/>
        <v>46106.913759606483</v>
      </c>
      <c r="Q20">
        <f ca="1"/>
        <v>27</v>
      </c>
      <c r="R20">
        <f ca="1"/>
        <v>30</v>
      </c>
      <c r="S20" t="str">
        <f ca="1"/>
        <v>normal</v>
      </c>
    </row>
    <row r="21" spans="1:19" x14ac:dyDescent="0.45">
      <c r="A21" t="str">
        <f ca="1"/>
        <v>TRX0161</v>
      </c>
      <c r="B21">
        <f ca="1"/>
        <v>45545</v>
      </c>
      <c r="C21" t="str">
        <f ca="1"/>
        <v>CUST017</v>
      </c>
      <c r="D21" t="str">
        <f ca="1"/>
        <v>Charles Allen</v>
      </c>
      <c r="E21" t="str">
        <f ca="1"/>
        <v>P004</v>
      </c>
      <c r="F21" t="str">
        <f ca="1"/>
        <v>Coffee Maker</v>
      </c>
      <c r="G21" t="str">
        <f ca="1"/>
        <v>Appliances</v>
      </c>
      <c r="H21">
        <f ca="1"/>
        <v>1</v>
      </c>
      <c r="I21">
        <f ca="1"/>
        <v>79.989999999999995</v>
      </c>
      <c r="J21" t="str">
        <f ca="1"/>
        <v>Cash</v>
      </c>
      <c r="K21" s="7" t="str">
        <f ca="1"/>
        <v>West</v>
      </c>
      <c r="L21" t="str">
        <f ca="1"/>
        <v>Basic</v>
      </c>
      <c r="M21">
        <f ca="1"/>
        <v>44693</v>
      </c>
      <c r="N21">
        <f ca="1"/>
        <v>79.989999999999995</v>
      </c>
      <c r="O21">
        <f ca="1"/>
        <v>46106</v>
      </c>
      <c r="P21">
        <f ca="1"/>
        <v>46106.913759606483</v>
      </c>
      <c r="Q21">
        <f ca="1"/>
        <v>27</v>
      </c>
      <c r="R21">
        <f ca="1"/>
        <v>30</v>
      </c>
      <c r="S21" t="str">
        <f ca="1"/>
        <v>normal</v>
      </c>
    </row>
    <row r="22" spans="1:19" x14ac:dyDescent="0.45">
      <c r="A22" t="str">
        <f ca="1"/>
        <v>TRX0158</v>
      </c>
      <c r="B22">
        <f ca="1"/>
        <v>45579</v>
      </c>
      <c r="C22" t="str">
        <f ca="1"/>
        <v>CUST027</v>
      </c>
      <c r="D22" t="str">
        <f ca="1"/>
        <v>George Adams</v>
      </c>
      <c r="E22" t="str">
        <f ca="1"/>
        <v>P001</v>
      </c>
      <c r="F22" t="str">
        <f ca="1"/>
        <v>Laptop</v>
      </c>
      <c r="G22" t="str">
        <f ca="1"/>
        <v>Electronics</v>
      </c>
      <c r="H22">
        <f ca="1"/>
        <v>3</v>
      </c>
      <c r="I22">
        <f ca="1"/>
        <v>899.99</v>
      </c>
      <c r="J22" t="str">
        <f ca="1"/>
        <v>PayPal</v>
      </c>
      <c r="K22" s="7" t="str">
        <f ca="1"/>
        <v>West</v>
      </c>
      <c r="L22" t="str">
        <f ca="1"/>
        <v>Basic</v>
      </c>
      <c r="M22">
        <f ca="1"/>
        <v>45215</v>
      </c>
      <c r="N22">
        <f ca="1"/>
        <v>2699.97</v>
      </c>
      <c r="O22">
        <f ca="1"/>
        <v>46106</v>
      </c>
      <c r="P22">
        <f ca="1"/>
        <v>46106.913759606483</v>
      </c>
      <c r="Q22">
        <f ca="1"/>
        <v>11</v>
      </c>
      <c r="R22">
        <f ca="1"/>
        <v>31</v>
      </c>
      <c r="S22" t="str">
        <f ca="1"/>
        <v>high-value</v>
      </c>
    </row>
    <row r="23" spans="1:19" x14ac:dyDescent="0.45">
      <c r="A23" t="str">
        <f ca="1"/>
        <v>TRX0190</v>
      </c>
      <c r="B23">
        <f ca="1"/>
        <v>45583</v>
      </c>
      <c r="C23" t="str">
        <f ca="1"/>
        <v>CUST039</v>
      </c>
      <c r="D23" t="str">
        <f ca="1"/>
        <v>Lawrence Reed</v>
      </c>
      <c r="E23" t="str">
        <f ca="1"/>
        <v>P003</v>
      </c>
      <c r="F23" t="str">
        <f ca="1"/>
        <v>Headphones</v>
      </c>
      <c r="G23" t="str">
        <f ca="1"/>
        <v>Electronics</v>
      </c>
      <c r="H23">
        <f ca="1"/>
        <v>2</v>
      </c>
      <c r="I23">
        <f ca="1"/>
        <v>149.99</v>
      </c>
      <c r="J23" t="str">
        <f ca="1"/>
        <v>Credit Card</v>
      </c>
      <c r="K23" s="7" t="str">
        <f ca="1"/>
        <v>West</v>
      </c>
      <c r="L23" t="str">
        <f ca="1"/>
        <v>Basic</v>
      </c>
      <c r="M23">
        <f ca="1"/>
        <v>44916</v>
      </c>
      <c r="N23">
        <f ca="1"/>
        <v>299.98</v>
      </c>
      <c r="O23">
        <f ca="1"/>
        <v>46106</v>
      </c>
      <c r="P23">
        <f ca="1"/>
        <v>46106.913759606483</v>
      </c>
      <c r="Q23">
        <f ca="1"/>
        <v>21</v>
      </c>
      <c r="R23">
        <f ca="1"/>
        <v>31</v>
      </c>
      <c r="S23" t="str">
        <f ca="1"/>
        <v>normal</v>
      </c>
    </row>
    <row r="24" spans="1:19" x14ac:dyDescent="0.45">
      <c r="A24" t="str">
        <f ca="1"/>
        <v>TRX0109</v>
      </c>
      <c r="B24">
        <f ca="1"/>
        <v>45604</v>
      </c>
      <c r="C24" t="str">
        <f ca="1"/>
        <v>CUST010</v>
      </c>
      <c r="D24" t="str">
        <f ca="1"/>
        <v>Maria Garcia</v>
      </c>
      <c r="E24" t="str">
        <f ca="1"/>
        <v>P008</v>
      </c>
      <c r="F24" t="str">
        <f ca="1"/>
        <v>Bookshelf</v>
      </c>
      <c r="G24" t="str">
        <f ca="1"/>
        <v>Furniture</v>
      </c>
      <c r="H24">
        <f ca="1"/>
        <v>2</v>
      </c>
      <c r="I24">
        <f ca="1"/>
        <v>149.99</v>
      </c>
      <c r="J24" t="str">
        <f ca="1"/>
        <v>Credit Card</v>
      </c>
      <c r="K24" s="7" t="str">
        <f ca="1"/>
        <v>West</v>
      </c>
      <c r="L24" t="str">
        <f ca="1"/>
        <v>Premium</v>
      </c>
      <c r="M24">
        <f ca="1"/>
        <v>44848</v>
      </c>
      <c r="N24">
        <f ca="1"/>
        <v>299.98</v>
      </c>
      <c r="O24">
        <f ca="1"/>
        <v>46106</v>
      </c>
      <c r="P24">
        <f ca="1"/>
        <v>46106.913759606483</v>
      </c>
      <c r="Q24">
        <f ca="1"/>
        <v>24</v>
      </c>
      <c r="R24">
        <f ca="1"/>
        <v>30</v>
      </c>
      <c r="S24" t="str">
        <f ca="1"/>
        <v>normal</v>
      </c>
    </row>
    <row r="25" spans="1:19" x14ac:dyDescent="0.45">
      <c r="A25" t="str">
        <f ca="1"/>
        <v>TRX0172</v>
      </c>
      <c r="B25">
        <f ca="1"/>
        <v>45607</v>
      </c>
      <c r="C25" t="str">
        <f ca="1"/>
        <v>CUST023</v>
      </c>
      <c r="D25" t="str">
        <f ca="1"/>
        <v>Paul Baker</v>
      </c>
      <c r="E25" t="str">
        <f ca="1"/>
        <v>P005</v>
      </c>
      <c r="F25" t="str">
        <f ca="1"/>
        <v>Blender</v>
      </c>
      <c r="G25" t="str">
        <f ca="1"/>
        <v>Appliances</v>
      </c>
      <c r="H25">
        <f ca="1"/>
        <v>5</v>
      </c>
      <c r="I25">
        <f ca="1"/>
        <v>59.99</v>
      </c>
      <c r="J25" t="str">
        <f ca="1"/>
        <v>PayPal</v>
      </c>
      <c r="K25" s="7" t="str">
        <f ca="1"/>
        <v>West</v>
      </c>
      <c r="L25" t="str">
        <f ca="1"/>
        <v>Premium</v>
      </c>
      <c r="M25">
        <f ca="1"/>
        <v>44694</v>
      </c>
      <c r="N25">
        <f ca="1"/>
        <v>299.95</v>
      </c>
      <c r="O25">
        <f ca="1"/>
        <v>46106</v>
      </c>
      <c r="P25">
        <f ca="1"/>
        <v>46106.913759606483</v>
      </c>
      <c r="Q25">
        <f ca="1"/>
        <v>29</v>
      </c>
      <c r="R25">
        <f ca="1"/>
        <v>30</v>
      </c>
      <c r="S25" t="str">
        <f ca="1"/>
        <v>normal</v>
      </c>
    </row>
    <row r="26" spans="1:19" x14ac:dyDescent="0.45">
      <c r="A26" t="str">
        <f ca="1"/>
        <v>TRX0076</v>
      </c>
      <c r="B26">
        <f ca="1"/>
        <v>45607</v>
      </c>
      <c r="C26" t="str">
        <f ca="1"/>
        <v>CUST012</v>
      </c>
      <c r="D26" t="str">
        <f ca="1"/>
        <v>Patricia Moore</v>
      </c>
      <c r="E26" t="str">
        <f ca="1"/>
        <v>P009</v>
      </c>
      <c r="F26" t="str">
        <f ca="1"/>
        <v>Monitor</v>
      </c>
      <c r="G26" t="str">
        <f ca="1"/>
        <v>Electronics</v>
      </c>
      <c r="H26">
        <f ca="1"/>
        <v>4</v>
      </c>
      <c r="I26">
        <f ca="1"/>
        <v>249.99</v>
      </c>
      <c r="J26" t="str">
        <f ca="1"/>
        <v>Credit Card</v>
      </c>
      <c r="K26" s="7" t="str">
        <f ca="1"/>
        <v>West</v>
      </c>
      <c r="L26" t="str">
        <f ca="1"/>
        <v>Standard</v>
      </c>
      <c r="M26">
        <f ca="1"/>
        <v>44659</v>
      </c>
      <c r="N26">
        <f ca="1"/>
        <v>999.96</v>
      </c>
      <c r="O26">
        <f ca="1"/>
        <v>46106</v>
      </c>
      <c r="P26">
        <f ca="1"/>
        <v>46106.913759606483</v>
      </c>
      <c r="Q26">
        <f ca="1"/>
        <v>31</v>
      </c>
      <c r="R26">
        <f ca="1"/>
        <v>30</v>
      </c>
      <c r="S26" t="str">
        <f ca="1"/>
        <v>normal</v>
      </c>
    </row>
    <row r="27" spans="1:19" x14ac:dyDescent="0.45">
      <c r="A27" t="str">
        <f ca="1"/>
        <v>TRX0033</v>
      </c>
      <c r="B27">
        <f ca="1"/>
        <v>45613</v>
      </c>
      <c r="C27" t="str">
        <f ca="1"/>
        <v>CUST025</v>
      </c>
      <c r="D27" t="str">
        <f ca="1"/>
        <v>Mark Carter</v>
      </c>
      <c r="E27" t="str">
        <f ca="1"/>
        <v>P002</v>
      </c>
      <c r="F27" t="str">
        <f ca="1"/>
        <v>Smartphone</v>
      </c>
      <c r="G27" t="str">
        <f ca="1"/>
        <v>Electronics</v>
      </c>
      <c r="H27">
        <f ca="1"/>
        <v>2</v>
      </c>
      <c r="I27">
        <f ca="1"/>
        <v>699.99</v>
      </c>
      <c r="J27" t="str">
        <f ca="1"/>
        <v>PayPal</v>
      </c>
      <c r="K27" s="7" t="str">
        <f ca="1"/>
        <v>West</v>
      </c>
      <c r="L27" t="str">
        <f ca="1"/>
        <v>Standard</v>
      </c>
      <c r="M27">
        <f ca="1"/>
        <v>44770</v>
      </c>
      <c r="N27">
        <f ca="1"/>
        <v>1399.98</v>
      </c>
      <c r="O27">
        <f ca="1"/>
        <v>46106</v>
      </c>
      <c r="P27">
        <f ca="1"/>
        <v>46106.913759606483</v>
      </c>
      <c r="Q27">
        <f ca="1"/>
        <v>27</v>
      </c>
      <c r="R27">
        <f ca="1"/>
        <v>30</v>
      </c>
      <c r="S27" t="str">
        <f ca="1"/>
        <v>normal</v>
      </c>
    </row>
    <row r="28" spans="1:19" x14ac:dyDescent="0.45">
      <c r="A28" t="str">
        <f ca="1"/>
        <v>TRX0145</v>
      </c>
      <c r="B28">
        <f ca="1"/>
        <v>45619</v>
      </c>
      <c r="C28" t="str">
        <f ca="1"/>
        <v>CUST033</v>
      </c>
      <c r="D28" t="str">
        <f ca="1"/>
        <v>Frank Torres</v>
      </c>
      <c r="E28" t="str">
        <f ca="1"/>
        <v>P005</v>
      </c>
      <c r="F28" t="str">
        <f ca="1"/>
        <v>Blender</v>
      </c>
      <c r="G28" t="str">
        <f ca="1"/>
        <v>Appliances</v>
      </c>
      <c r="H28">
        <f ca="1"/>
        <v>1</v>
      </c>
      <c r="I28">
        <f ca="1"/>
        <v>59.99</v>
      </c>
      <c r="J28" t="str">
        <f ca="1"/>
        <v>Debit Card</v>
      </c>
      <c r="K28" s="7" t="str">
        <f ca="1"/>
        <v>West</v>
      </c>
      <c r="L28" t="str">
        <f ca="1"/>
        <v>Standard</v>
      </c>
      <c r="M28">
        <f ca="1"/>
        <v>44560</v>
      </c>
      <c r="N28">
        <f ca="1"/>
        <v>59.99</v>
      </c>
      <c r="O28">
        <f ca="1"/>
        <v>46106</v>
      </c>
      <c r="P28">
        <f ca="1"/>
        <v>46106.913759606483</v>
      </c>
      <c r="Q28">
        <f ca="1"/>
        <v>34</v>
      </c>
      <c r="R28">
        <f ca="1"/>
        <v>30</v>
      </c>
      <c r="S28" t="str">
        <f ca="1"/>
        <v>normal</v>
      </c>
    </row>
    <row r="29" spans="1:19" x14ac:dyDescent="0.45">
      <c r="A29" t="str">
        <f ca="1"/>
        <v>TRX0148</v>
      </c>
      <c r="B29">
        <f ca="1"/>
        <v>45619</v>
      </c>
      <c r="C29" t="str">
        <f ca="1"/>
        <v>CUST004</v>
      </c>
      <c r="D29" t="str">
        <f ca="1"/>
        <v>Sarah Davis</v>
      </c>
      <c r="E29" t="str">
        <f ca="1"/>
        <v>P002</v>
      </c>
      <c r="F29" t="str">
        <f ca="1"/>
        <v>Smartphone</v>
      </c>
      <c r="G29" t="str">
        <f ca="1"/>
        <v>Electronics</v>
      </c>
      <c r="H29">
        <f ca="1"/>
        <v>3</v>
      </c>
      <c r="I29">
        <f ca="1"/>
        <v>699.99</v>
      </c>
      <c r="J29" t="str">
        <f ca="1"/>
        <v>PayPal</v>
      </c>
      <c r="K29" s="7" t="str">
        <f ca="1"/>
        <v>West</v>
      </c>
      <c r="L29" t="str">
        <f ca="1"/>
        <v>Standard</v>
      </c>
      <c r="M29">
        <f ca="1"/>
        <v>44583</v>
      </c>
      <c r="N29">
        <f ca="1"/>
        <v>2099.9699999999998</v>
      </c>
      <c r="O29">
        <f ca="1"/>
        <v>46106</v>
      </c>
      <c r="P29">
        <f ca="1"/>
        <v>46106.913759606483</v>
      </c>
      <c r="Q29">
        <f ca="1"/>
        <v>34</v>
      </c>
      <c r="R29">
        <f ca="1"/>
        <v>30</v>
      </c>
      <c r="S29" t="str">
        <f ca="1"/>
        <v>high-value</v>
      </c>
    </row>
    <row r="30" spans="1:19" x14ac:dyDescent="0.45">
      <c r="A30" t="str">
        <f ca="1"/>
        <v>TRX0201</v>
      </c>
      <c r="B30">
        <f ca="1"/>
        <v>45627</v>
      </c>
      <c r="C30" t="str">
        <f ca="1"/>
        <v>CUST025</v>
      </c>
      <c r="D30" t="str">
        <f ca="1"/>
        <v>Mark Carter</v>
      </c>
      <c r="E30" t="str">
        <f ca="1"/>
        <v>P002</v>
      </c>
      <c r="F30" t="str">
        <f ca="1"/>
        <v>Smartphone</v>
      </c>
      <c r="G30" t="str">
        <f ca="1"/>
        <v>Electronics</v>
      </c>
      <c r="H30">
        <f ca="1"/>
        <v>5</v>
      </c>
      <c r="I30">
        <f ca="1"/>
        <v>699.99</v>
      </c>
      <c r="J30" t="str">
        <f ca="1"/>
        <v>Debit Card</v>
      </c>
      <c r="K30" s="7" t="str">
        <f ca="1"/>
        <v>West</v>
      </c>
      <c r="L30" t="str">
        <f ca="1"/>
        <v>Standard</v>
      </c>
      <c r="M30">
        <f ca="1"/>
        <v>44944</v>
      </c>
      <c r="N30">
        <f ca="1"/>
        <v>3499.95</v>
      </c>
      <c r="O30">
        <f ca="1"/>
        <v>46106</v>
      </c>
      <c r="P30">
        <f ca="1"/>
        <v>46106.913759606483</v>
      </c>
      <c r="Q30">
        <f ca="1"/>
        <v>22</v>
      </c>
      <c r="R30">
        <f ca="1"/>
        <v>31</v>
      </c>
      <c r="S30" t="str">
        <f ca="1"/>
        <v>high-value</v>
      </c>
    </row>
    <row r="31" spans="1:19" x14ac:dyDescent="0.45">
      <c r="A31" t="str">
        <f ca="1"/>
        <v>TRX0028</v>
      </c>
      <c r="B31">
        <f ca="1"/>
        <v>45644</v>
      </c>
      <c r="C31" t="str">
        <f ca="1"/>
        <v>CUST002</v>
      </c>
      <c r="D31" t="str">
        <f ca="1"/>
        <v>Emma Wilson</v>
      </c>
      <c r="E31" t="str">
        <f ca="1"/>
        <v>P005</v>
      </c>
      <c r="F31" t="str">
        <f ca="1"/>
        <v>Blender</v>
      </c>
      <c r="G31" t="str">
        <f ca="1"/>
        <v>Appliances</v>
      </c>
      <c r="H31">
        <f ca="1"/>
        <v>2</v>
      </c>
      <c r="I31">
        <f ca="1"/>
        <v>59.99</v>
      </c>
      <c r="J31" t="str">
        <f ca="1"/>
        <v>Cash</v>
      </c>
      <c r="K31" s="7" t="str">
        <f ca="1"/>
        <v>West</v>
      </c>
      <c r="L31" t="str">
        <f ca="1"/>
        <v>Basic</v>
      </c>
      <c r="M31">
        <f ca="1"/>
        <v>45191</v>
      </c>
      <c r="N31">
        <f ca="1"/>
        <v>119.98</v>
      </c>
      <c r="O31">
        <f ca="1"/>
        <v>46106</v>
      </c>
      <c r="P31">
        <f ca="1"/>
        <v>46106.913759606483</v>
      </c>
      <c r="Q31">
        <f ca="1"/>
        <v>14</v>
      </c>
      <c r="R31">
        <f ca="1"/>
        <v>31</v>
      </c>
      <c r="S31" t="str">
        <f ca="1"/>
        <v>normal</v>
      </c>
    </row>
    <row r="32" spans="1:19" x14ac:dyDescent="0.45">
      <c r="A32" t="str">
        <f ca="1"/>
        <v>TRX0164</v>
      </c>
      <c r="B32">
        <f ca="1"/>
        <v>45648</v>
      </c>
      <c r="C32" t="str">
        <f ca="1"/>
        <v>CUST014</v>
      </c>
      <c r="D32" t="str">
        <f ca="1"/>
        <v>Linda Martin</v>
      </c>
      <c r="E32" t="str">
        <f ca="1"/>
        <v>P003</v>
      </c>
      <c r="F32" t="str">
        <f ca="1"/>
        <v>Headphones</v>
      </c>
      <c r="G32" t="str">
        <f ca="1"/>
        <v>Electronics</v>
      </c>
      <c r="H32">
        <f ca="1"/>
        <v>2</v>
      </c>
      <c r="I32">
        <f ca="1"/>
        <v>149.99</v>
      </c>
      <c r="J32" t="str">
        <f ca="1"/>
        <v>Debit Card</v>
      </c>
      <c r="K32" s="7" t="str">
        <f ca="1"/>
        <v>West</v>
      </c>
      <c r="L32" t="str">
        <f ca="1"/>
        <v>Premium</v>
      </c>
      <c r="M32">
        <f ca="1"/>
        <v>45280</v>
      </c>
      <c r="N32">
        <f ca="1"/>
        <v>299.98</v>
      </c>
      <c r="O32">
        <f ca="1"/>
        <v>46106</v>
      </c>
      <c r="P32">
        <f ca="1"/>
        <v>46106.913759606483</v>
      </c>
      <c r="Q32">
        <f ca="1"/>
        <v>12</v>
      </c>
      <c r="R32">
        <f ca="1"/>
        <v>31</v>
      </c>
      <c r="S32" t="str">
        <f ca="1"/>
        <v>normal</v>
      </c>
    </row>
    <row r="33" spans="1:19" x14ac:dyDescent="0.45">
      <c r="A33" t="str">
        <f ca="1"/>
        <v>TRX0143</v>
      </c>
      <c r="B33">
        <f ca="1"/>
        <v>45654</v>
      </c>
      <c r="C33" t="str">
        <f ca="1"/>
        <v>CUST003</v>
      </c>
      <c r="D33" t="str">
        <f ca="1"/>
        <v>Michael Brown</v>
      </c>
      <c r="E33" t="str">
        <f ca="1"/>
        <v>P007</v>
      </c>
      <c r="F33" t="str">
        <f ca="1"/>
        <v>Desk</v>
      </c>
      <c r="G33" t="str">
        <f ca="1"/>
        <v>Furniture</v>
      </c>
      <c r="H33">
        <f ca="1"/>
        <v>2</v>
      </c>
      <c r="I33">
        <f ca="1"/>
        <v>299.99</v>
      </c>
      <c r="J33" t="str">
        <f ca="1"/>
        <v>Cash</v>
      </c>
      <c r="K33" s="7" t="str">
        <f ca="1"/>
        <v>West</v>
      </c>
      <c r="L33" t="str">
        <f ca="1"/>
        <v>Basic</v>
      </c>
      <c r="M33">
        <f ca="1"/>
        <v>44771</v>
      </c>
      <c r="N33">
        <f ca="1"/>
        <v>599.98</v>
      </c>
      <c r="O33">
        <f ca="1"/>
        <v>46106</v>
      </c>
      <c r="P33">
        <f ca="1"/>
        <v>46106.913759606483</v>
      </c>
      <c r="Q33">
        <f ca="1"/>
        <v>28</v>
      </c>
      <c r="R33">
        <f ca="1"/>
        <v>31</v>
      </c>
      <c r="S33" t="str">
        <f ca="1"/>
        <v>normal</v>
      </c>
    </row>
    <row r="34" spans="1:19" x14ac:dyDescent="0.45">
      <c r="A34" t="str">
        <f ca="1"/>
        <v>TRX0178</v>
      </c>
      <c r="B34">
        <f ca="1"/>
        <v>45686</v>
      </c>
      <c r="C34" t="str">
        <f ca="1"/>
        <v>CUST025</v>
      </c>
      <c r="D34" t="str">
        <f ca="1"/>
        <v>Mark Carter</v>
      </c>
      <c r="E34" t="str">
        <f ca="1"/>
        <v>P007</v>
      </c>
      <c r="F34" t="str">
        <f ca="1"/>
        <v>Desk</v>
      </c>
      <c r="G34" t="str">
        <f ca="1"/>
        <v>Furniture</v>
      </c>
      <c r="H34">
        <f ca="1"/>
        <v>3</v>
      </c>
      <c r="I34">
        <f ca="1"/>
        <v>299.99</v>
      </c>
      <c r="J34" t="str">
        <f ca="1"/>
        <v>Debit Card</v>
      </c>
      <c r="K34" s="7" t="str">
        <f ca="1"/>
        <v>West</v>
      </c>
      <c r="L34" t="str">
        <f ca="1"/>
        <v>Standard</v>
      </c>
      <c r="M34">
        <f ca="1"/>
        <v>44952</v>
      </c>
      <c r="N34">
        <f ca="1"/>
        <v>899.97</v>
      </c>
      <c r="O34">
        <f ca="1"/>
        <v>46106</v>
      </c>
      <c r="P34">
        <f ca="1"/>
        <v>46106.913759606483</v>
      </c>
      <c r="Q34">
        <f ca="1"/>
        <v>24</v>
      </c>
      <c r="R34">
        <f ca="1"/>
        <v>31</v>
      </c>
      <c r="S34" t="str">
        <f ca="1"/>
        <v>normal</v>
      </c>
    </row>
    <row r="35" spans="1:19" x14ac:dyDescent="0.45">
      <c r="A35" t="str">
        <f ca="1"/>
        <v>TRX0010</v>
      </c>
      <c r="B35">
        <f ca="1"/>
        <v>45688</v>
      </c>
      <c r="C35" t="str">
        <f ca="1"/>
        <v>CUST026</v>
      </c>
      <c r="D35" t="str">
        <f ca="1"/>
        <v>Karen Hill</v>
      </c>
      <c r="E35" t="str">
        <f ca="1"/>
        <v>P002</v>
      </c>
      <c r="F35" t="str">
        <f ca="1"/>
        <v>Smartphone</v>
      </c>
      <c r="G35" t="str">
        <f ca="1"/>
        <v>Electronics</v>
      </c>
      <c r="H35">
        <f ca="1"/>
        <v>4</v>
      </c>
      <c r="I35">
        <f ca="1"/>
        <v>699.99</v>
      </c>
      <c r="J35" t="str">
        <f ca="1"/>
        <v>Debit Card</v>
      </c>
      <c r="K35" s="7" t="str">
        <f ca="1"/>
        <v>West</v>
      </c>
      <c r="L35" t="str">
        <f ca="1"/>
        <v>Premium</v>
      </c>
      <c r="M35">
        <f ca="1"/>
        <v>44692</v>
      </c>
      <c r="N35">
        <f ca="1"/>
        <v>2799.96</v>
      </c>
      <c r="O35">
        <f ca="1"/>
        <v>46106</v>
      </c>
      <c r="P35">
        <f ca="1"/>
        <v>46106.913759606483</v>
      </c>
      <c r="Q35">
        <f ca="1"/>
        <v>32</v>
      </c>
      <c r="R35">
        <f ca="1"/>
        <v>31</v>
      </c>
      <c r="S35" t="str">
        <f ca="1"/>
        <v>high-value</v>
      </c>
    </row>
    <row r="36" spans="1:19" x14ac:dyDescent="0.45">
      <c r="A36" t="str">
        <f ca="1"/>
        <v>TRX0221</v>
      </c>
      <c r="B36">
        <f ca="1"/>
        <v>45708</v>
      </c>
      <c r="C36" t="str">
        <f ca="1"/>
        <v>CUST033</v>
      </c>
      <c r="D36" t="str">
        <f ca="1"/>
        <v>Frank Torres</v>
      </c>
      <c r="E36" t="str">
        <f ca="1"/>
        <v>P006</v>
      </c>
      <c r="F36" t="str">
        <f ca="1"/>
        <v>Office Chair</v>
      </c>
      <c r="G36" t="str">
        <f ca="1"/>
        <v>Furniture</v>
      </c>
      <c r="H36">
        <f ca="1"/>
        <v>3</v>
      </c>
      <c r="I36">
        <f ca="1"/>
        <v>199.99</v>
      </c>
      <c r="J36" t="str">
        <f ca="1"/>
        <v>Cash</v>
      </c>
      <c r="K36" s="7" t="str">
        <f ca="1"/>
        <v>West</v>
      </c>
      <c r="L36" t="str">
        <f ca="1"/>
        <v>Premium</v>
      </c>
      <c r="M36">
        <f ca="1"/>
        <v>44823</v>
      </c>
      <c r="N36">
        <f ca="1"/>
        <v>599.97</v>
      </c>
      <c r="O36">
        <f ca="1"/>
        <v>46106</v>
      </c>
      <c r="P36">
        <f ca="1"/>
        <v>46106.913759606483</v>
      </c>
      <c r="Q36">
        <f ca="1"/>
        <v>29</v>
      </c>
      <c r="R36">
        <f ca="1"/>
        <v>28</v>
      </c>
      <c r="S36" t="str">
        <f ca="1"/>
        <v>normal</v>
      </c>
    </row>
    <row r="37" spans="1:19" x14ac:dyDescent="0.45">
      <c r="A37" t="str">
        <f ca="1"/>
        <v>TRX0083</v>
      </c>
      <c r="B37">
        <f ca="1"/>
        <v>45710</v>
      </c>
      <c r="C37" t="str">
        <f ca="1"/>
        <v>CUST017</v>
      </c>
      <c r="D37" t="str">
        <f ca="1"/>
        <v>Charles Allen</v>
      </c>
      <c r="E37" t="str">
        <f ca="1"/>
        <v>P007</v>
      </c>
      <c r="F37" t="str">
        <f ca="1"/>
        <v>Desk</v>
      </c>
      <c r="G37" t="str">
        <f ca="1"/>
        <v>Furniture</v>
      </c>
      <c r="H37">
        <f ca="1"/>
        <v>5</v>
      </c>
      <c r="I37">
        <f ca="1"/>
        <v>299.99</v>
      </c>
      <c r="J37" t="str">
        <f ca="1"/>
        <v>Cash</v>
      </c>
      <c r="K37" s="7" t="str">
        <f ca="1"/>
        <v>West</v>
      </c>
      <c r="L37" t="str">
        <f ca="1"/>
        <v>Standard</v>
      </c>
      <c r="M37">
        <f ca="1"/>
        <v>45142</v>
      </c>
      <c r="N37">
        <f ca="1"/>
        <v>1499.95</v>
      </c>
      <c r="O37">
        <f ca="1"/>
        <v>46106</v>
      </c>
      <c r="P37">
        <f ca="1"/>
        <v>46106.913759606483</v>
      </c>
      <c r="Q37">
        <f ca="1"/>
        <v>18</v>
      </c>
      <c r="R37">
        <f ca="1"/>
        <v>28</v>
      </c>
      <c r="S37" t="str">
        <f ca="1"/>
        <v>normal</v>
      </c>
    </row>
    <row r="38" spans="1:19" x14ac:dyDescent="0.45">
      <c r="A38" t="str">
        <f ca="1"/>
        <v>TRX0151</v>
      </c>
      <c r="B38">
        <f ca="1"/>
        <v>45710</v>
      </c>
      <c r="C38" t="str">
        <f ca="1"/>
        <v>CUST040</v>
      </c>
      <c r="D38" t="str">
        <f ca="1"/>
        <v>Sharon Butler</v>
      </c>
      <c r="E38" t="str">
        <f ca="1"/>
        <v>P002</v>
      </c>
      <c r="F38" t="str">
        <f ca="1"/>
        <v>Smartphone</v>
      </c>
      <c r="G38" t="str">
        <f ca="1"/>
        <v>Electronics</v>
      </c>
      <c r="H38">
        <f ca="1"/>
        <v>1</v>
      </c>
      <c r="I38">
        <f ca="1"/>
        <v>699.99</v>
      </c>
      <c r="J38" t="str">
        <f ca="1"/>
        <v>PayPal</v>
      </c>
      <c r="K38" s="7" t="str">
        <f ca="1"/>
        <v>West</v>
      </c>
      <c r="L38" t="str">
        <f ca="1"/>
        <v>Basic</v>
      </c>
      <c r="M38">
        <f ca="1"/>
        <v>44934</v>
      </c>
      <c r="N38">
        <f ca="1"/>
        <v>699.99</v>
      </c>
      <c r="O38">
        <f ca="1"/>
        <v>46106</v>
      </c>
      <c r="P38">
        <f ca="1"/>
        <v>46106.913759606483</v>
      </c>
      <c r="Q38">
        <f ca="1"/>
        <v>25</v>
      </c>
      <c r="R38">
        <f ca="1"/>
        <v>28</v>
      </c>
      <c r="S38" t="str">
        <f ca="1"/>
        <v>normal</v>
      </c>
    </row>
    <row r="39" spans="1:19" x14ac:dyDescent="0.45">
      <c r="A39" t="str">
        <f ca="1"/>
        <v>TRX0062</v>
      </c>
      <c r="B39">
        <f ca="1"/>
        <v>45711</v>
      </c>
      <c r="C39" t="str">
        <f ca="1"/>
        <v>CUST016</v>
      </c>
      <c r="D39" t="str">
        <f ca="1"/>
        <v>Elizabeth Hall</v>
      </c>
      <c r="E39" t="str">
        <f ca="1"/>
        <v>P010</v>
      </c>
      <c r="F39" t="str">
        <f ca="1"/>
        <v>Keyboard</v>
      </c>
      <c r="G39" t="str">
        <f ca="1"/>
        <v>Electronics</v>
      </c>
      <c r="H39">
        <f ca="1"/>
        <v>5</v>
      </c>
      <c r="I39">
        <f ca="1"/>
        <v>89.99</v>
      </c>
      <c r="J39" t="str">
        <f ca="1"/>
        <v>PayPal</v>
      </c>
      <c r="K39" s="7" t="str">
        <f ca="1"/>
        <v>West</v>
      </c>
      <c r="L39" t="str">
        <f ca="1"/>
        <v>Premium</v>
      </c>
      <c r="M39">
        <f ca="1"/>
        <v>45140</v>
      </c>
      <c r="N39">
        <f ca="1"/>
        <v>449.95</v>
      </c>
      <c r="O39">
        <f ca="1"/>
        <v>46106</v>
      </c>
      <c r="P39">
        <f ca="1"/>
        <v>46106.913759606483</v>
      </c>
      <c r="Q39">
        <f ca="1"/>
        <v>18</v>
      </c>
      <c r="R39">
        <f ca="1"/>
        <v>28</v>
      </c>
      <c r="S39" t="str">
        <f ca="1"/>
        <v>normal</v>
      </c>
    </row>
    <row r="40" spans="1:19" x14ac:dyDescent="0.45">
      <c r="A40" t="str">
        <f ca="1"/>
        <v>TRX0229</v>
      </c>
      <c r="B40">
        <f ca="1"/>
        <v>45715</v>
      </c>
      <c r="C40" t="str">
        <f ca="1"/>
        <v>CUST015</v>
      </c>
      <c r="D40" t="str">
        <f ca="1"/>
        <v>Richard Lee</v>
      </c>
      <c r="E40" t="str">
        <f ca="1"/>
        <v>P005</v>
      </c>
      <c r="F40" t="str">
        <f ca="1"/>
        <v>Blender</v>
      </c>
      <c r="G40" t="str">
        <f ca="1"/>
        <v>Appliances</v>
      </c>
      <c r="H40">
        <f ca="1"/>
        <v>4</v>
      </c>
      <c r="I40">
        <f ca="1"/>
        <v>59.99</v>
      </c>
      <c r="J40" t="str">
        <f ca="1"/>
        <v>Cash</v>
      </c>
      <c r="K40" s="7" t="str">
        <f ca="1"/>
        <v>West</v>
      </c>
      <c r="L40" t="str">
        <f ca="1"/>
        <v>Standard</v>
      </c>
      <c r="M40">
        <f ca="1"/>
        <v>45070</v>
      </c>
      <c r="N40">
        <f ca="1"/>
        <v>239.96</v>
      </c>
      <c r="O40">
        <f ca="1"/>
        <v>46106</v>
      </c>
      <c r="P40">
        <f ca="1"/>
        <v>46106.913759606483</v>
      </c>
      <c r="Q40">
        <f ca="1"/>
        <v>21</v>
      </c>
      <c r="R40">
        <f ca="1"/>
        <v>28</v>
      </c>
      <c r="S40" t="str">
        <f ca="1"/>
        <v>normal</v>
      </c>
    </row>
    <row r="41" spans="1:19" x14ac:dyDescent="0.45">
      <c r="A41" t="str">
        <f ca="1"/>
        <v>TRX0053</v>
      </c>
      <c r="B41">
        <f ca="1"/>
        <v>45721</v>
      </c>
      <c r="C41" t="str">
        <f ca="1"/>
        <v>CUST043</v>
      </c>
      <c r="D41" t="str">
        <f ca="1"/>
        <v>Dennis Gray</v>
      </c>
      <c r="E41" t="str">
        <f ca="1"/>
        <v>P005</v>
      </c>
      <c r="F41" t="str">
        <f ca="1"/>
        <v>Blender</v>
      </c>
      <c r="G41" t="str">
        <f ca="1"/>
        <v>Appliances</v>
      </c>
      <c r="H41">
        <f ca="1"/>
        <v>5</v>
      </c>
      <c r="I41">
        <f ca="1"/>
        <v>59.99</v>
      </c>
      <c r="J41" t="str">
        <f ca="1"/>
        <v>Cash</v>
      </c>
      <c r="K41" s="7" t="str">
        <f ca="1"/>
        <v>West</v>
      </c>
      <c r="L41" t="str">
        <f ca="1"/>
        <v>Premium</v>
      </c>
      <c r="M41">
        <f ca="1"/>
        <v>45291</v>
      </c>
      <c r="N41">
        <f ca="1"/>
        <v>299.95</v>
      </c>
      <c r="O41">
        <f ca="1"/>
        <v>46106</v>
      </c>
      <c r="P41">
        <f ca="1"/>
        <v>46106.913759606483</v>
      </c>
      <c r="Q41">
        <f ca="1"/>
        <v>14</v>
      </c>
      <c r="R41">
        <f ca="1"/>
        <v>31</v>
      </c>
      <c r="S41" t="str">
        <f ca="1"/>
        <v>normal</v>
      </c>
    </row>
    <row r="42" spans="1:19" x14ac:dyDescent="0.45">
      <c r="A42" t="str">
        <f ca="1"/>
        <v>TRX0233</v>
      </c>
      <c r="B42">
        <f ca="1"/>
        <v>45723</v>
      </c>
      <c r="C42" t="str">
        <f ca="1"/>
        <v>CUST023</v>
      </c>
      <c r="D42" t="str">
        <f ca="1"/>
        <v>Paul Baker</v>
      </c>
      <c r="E42" t="str">
        <f ca="1"/>
        <v>P010</v>
      </c>
      <c r="F42" t="str">
        <f ca="1"/>
        <v>Keyboard</v>
      </c>
      <c r="G42" t="str">
        <f ca="1"/>
        <v>Electronics</v>
      </c>
      <c r="H42">
        <f ca="1"/>
        <v>2</v>
      </c>
      <c r="I42">
        <f ca="1"/>
        <v>89.99</v>
      </c>
      <c r="J42" t="str">
        <f ca="1"/>
        <v>Credit Card</v>
      </c>
      <c r="K42" s="7" t="str">
        <f ca="1"/>
        <v>West</v>
      </c>
      <c r="L42" t="str">
        <f ca="1"/>
        <v>Premium</v>
      </c>
      <c r="M42">
        <f ca="1"/>
        <v>45295</v>
      </c>
      <c r="N42">
        <f ca="1"/>
        <v>179.98</v>
      </c>
      <c r="O42">
        <f ca="1"/>
        <v>46106</v>
      </c>
      <c r="P42">
        <f ca="1"/>
        <v>46106.913759606483</v>
      </c>
      <c r="Q42">
        <f ca="1"/>
        <v>14</v>
      </c>
      <c r="R42">
        <f ca="1"/>
        <v>31</v>
      </c>
      <c r="S42" t="str">
        <f ca="1"/>
        <v>normal</v>
      </c>
    </row>
    <row r="43" spans="1:19" x14ac:dyDescent="0.45">
      <c r="A43" t="str">
        <f ca="1"/>
        <v>TRX0014</v>
      </c>
      <c r="B43">
        <f ca="1"/>
        <v>45734</v>
      </c>
      <c r="C43" t="str">
        <f ca="1"/>
        <v>CUST033</v>
      </c>
      <c r="D43" t="str">
        <f ca="1"/>
        <v>Frank Torres</v>
      </c>
      <c r="E43" t="str">
        <f ca="1"/>
        <v>P005</v>
      </c>
      <c r="F43" t="str">
        <f ca="1"/>
        <v>Blender</v>
      </c>
      <c r="G43" t="str">
        <f ca="1"/>
        <v>Appliances</v>
      </c>
      <c r="H43">
        <f ca="1"/>
        <v>2</v>
      </c>
      <c r="I43">
        <f ca="1"/>
        <v>59.99</v>
      </c>
      <c r="J43" t="str">
        <f ca="1"/>
        <v>Credit Card</v>
      </c>
      <c r="K43" s="7" t="str">
        <f ca="1"/>
        <v>West</v>
      </c>
      <c r="L43" t="str">
        <f ca="1"/>
        <v>Basic</v>
      </c>
      <c r="M43">
        <f ca="1"/>
        <v>45193</v>
      </c>
      <c r="N43">
        <f ca="1"/>
        <v>119.98</v>
      </c>
      <c r="O43">
        <f ca="1"/>
        <v>46106</v>
      </c>
      <c r="P43">
        <f ca="1"/>
        <v>46106.913759606483</v>
      </c>
      <c r="Q43">
        <f ca="1"/>
        <v>17</v>
      </c>
      <c r="R43">
        <f ca="1"/>
        <v>31</v>
      </c>
      <c r="S43" t="str">
        <f ca="1"/>
        <v>normal</v>
      </c>
    </row>
    <row r="44" spans="1:19" x14ac:dyDescent="0.45">
      <c r="A44" t="str">
        <f ca="1"/>
        <v>TRX0003</v>
      </c>
      <c r="B44">
        <f ca="1"/>
        <v>45737</v>
      </c>
      <c r="C44" t="str">
        <f ca="1"/>
        <v>CUST002</v>
      </c>
      <c r="D44" t="str">
        <f ca="1"/>
        <v>Emma Wilson</v>
      </c>
      <c r="E44" t="str">
        <f ca="1"/>
        <v>P008</v>
      </c>
      <c r="F44" t="str">
        <f ca="1"/>
        <v>Bookshelf</v>
      </c>
      <c r="G44" t="str">
        <f ca="1"/>
        <v>Furniture</v>
      </c>
      <c r="H44">
        <f ca="1"/>
        <v>2</v>
      </c>
      <c r="I44">
        <f ca="1"/>
        <v>149.99</v>
      </c>
      <c r="J44" t="str">
        <f ca="1"/>
        <v>Cash</v>
      </c>
      <c r="K44" s="7" t="str">
        <f ca="1"/>
        <v>West</v>
      </c>
      <c r="L44" t="str">
        <f ca="1"/>
        <v>Premium</v>
      </c>
      <c r="M44">
        <f ca="1"/>
        <v>45233</v>
      </c>
      <c r="N44">
        <f ca="1"/>
        <v>299.98</v>
      </c>
      <c r="O44">
        <f ca="1"/>
        <v>46106</v>
      </c>
      <c r="P44">
        <f ca="1"/>
        <v>46106.913759606483</v>
      </c>
      <c r="Q44">
        <f ca="1"/>
        <v>16</v>
      </c>
      <c r="R44">
        <f ca="1"/>
        <v>31</v>
      </c>
      <c r="S44" t="str">
        <f ca="1"/>
        <v>normal</v>
      </c>
    </row>
    <row r="45" spans="1:19" x14ac:dyDescent="0.45">
      <c r="A45" t="str">
        <f ca="1"/>
        <v>TRX0019</v>
      </c>
      <c r="B45">
        <f ca="1"/>
        <v>45739</v>
      </c>
      <c r="C45" t="str">
        <f ca="1"/>
        <v>CUST023</v>
      </c>
      <c r="D45" t="str">
        <f ca="1"/>
        <v>Paul Baker</v>
      </c>
      <c r="E45" t="str">
        <f ca="1"/>
        <v>P007</v>
      </c>
      <c r="F45" t="str">
        <f ca="1"/>
        <v>Desk</v>
      </c>
      <c r="G45" t="str">
        <f ca="1"/>
        <v>Furniture</v>
      </c>
      <c r="H45">
        <f ca="1"/>
        <v>3</v>
      </c>
      <c r="I45">
        <f ca="1"/>
        <v>299.99</v>
      </c>
      <c r="J45" t="str">
        <f ca="1"/>
        <v>Credit Card</v>
      </c>
      <c r="K45" s="7" t="str">
        <f ca="1"/>
        <v>West</v>
      </c>
      <c r="L45" t="str">
        <f ca="1"/>
        <v>Premium</v>
      </c>
      <c r="M45">
        <f ca="1"/>
        <v>45234</v>
      </c>
      <c r="N45">
        <f ca="1"/>
        <v>899.97</v>
      </c>
      <c r="O45">
        <f ca="1"/>
        <v>46106</v>
      </c>
      <c r="P45">
        <f ca="1"/>
        <v>46106.913759606483</v>
      </c>
      <c r="Q45">
        <f ca="1"/>
        <v>16</v>
      </c>
      <c r="R45">
        <f ca="1"/>
        <v>31</v>
      </c>
      <c r="S45" t="str">
        <f ca="1"/>
        <v>normal</v>
      </c>
    </row>
    <row r="46" spans="1:19" x14ac:dyDescent="0.45">
      <c r="A46" t="str">
        <f ca="1"/>
        <v>TRX0050</v>
      </c>
      <c r="B46">
        <f ca="1"/>
        <v>45740</v>
      </c>
      <c r="C46" t="str">
        <f ca="1"/>
        <v>CUST001</v>
      </c>
      <c r="D46" t="str">
        <f ca="1"/>
        <v>John Smith</v>
      </c>
      <c r="E46" t="str">
        <f ca="1"/>
        <v>P008</v>
      </c>
      <c r="F46" t="str">
        <f ca="1"/>
        <v>Bookshelf</v>
      </c>
      <c r="G46" t="str">
        <f ca="1"/>
        <v>Furniture</v>
      </c>
      <c r="H46">
        <f ca="1"/>
        <v>4</v>
      </c>
      <c r="I46">
        <f ca="1"/>
        <v>149.99</v>
      </c>
      <c r="J46" t="str">
        <f ca="1"/>
        <v>PayPal</v>
      </c>
      <c r="K46" s="7" t="str">
        <f ca="1"/>
        <v>West</v>
      </c>
      <c r="L46" t="str">
        <f ca="1"/>
        <v>Standard</v>
      </c>
      <c r="M46">
        <f ca="1"/>
        <v>44560</v>
      </c>
      <c r="N46">
        <f ca="1"/>
        <v>599.96</v>
      </c>
      <c r="O46">
        <f ca="1"/>
        <v>46106</v>
      </c>
      <c r="P46">
        <f ca="1"/>
        <v>46106.913759606483</v>
      </c>
      <c r="Q46">
        <f ca="1"/>
        <v>38</v>
      </c>
      <c r="R46">
        <f ca="1"/>
        <v>31</v>
      </c>
      <c r="S46" t="str">
        <f ca="1"/>
        <v>normal</v>
      </c>
    </row>
    <row r="47" spans="1:19" x14ac:dyDescent="0.45">
      <c r="A47" t="str">
        <f ca="1"/>
        <v>TRX0250</v>
      </c>
      <c r="B47">
        <f ca="1"/>
        <v>45746</v>
      </c>
      <c r="C47" t="str">
        <f ca="1"/>
        <v>CUST026</v>
      </c>
      <c r="D47" t="str">
        <f ca="1"/>
        <v>Karen Hill</v>
      </c>
      <c r="E47" t="str">
        <f ca="1"/>
        <v>P010</v>
      </c>
      <c r="F47" t="str">
        <f ca="1"/>
        <v>Keyboard</v>
      </c>
      <c r="G47" t="str">
        <f ca="1"/>
        <v>Electronics</v>
      </c>
      <c r="H47">
        <f ca="1"/>
        <v>2</v>
      </c>
      <c r="I47">
        <f ca="1"/>
        <v>89.99</v>
      </c>
      <c r="J47" t="str">
        <f ca="1"/>
        <v>Debit Card</v>
      </c>
      <c r="K47" s="7" t="str">
        <f ca="1"/>
        <v>West</v>
      </c>
      <c r="L47" t="str">
        <f ca="1"/>
        <v>Premium</v>
      </c>
      <c r="M47">
        <f ca="1"/>
        <v>44522</v>
      </c>
      <c r="N47">
        <f ca="1"/>
        <v>179.98</v>
      </c>
      <c r="O47">
        <f ca="1"/>
        <v>46106</v>
      </c>
      <c r="P47">
        <f ca="1"/>
        <v>46106.913759606483</v>
      </c>
      <c r="Q47">
        <f ca="1"/>
        <v>40</v>
      </c>
      <c r="R47">
        <f ca="1"/>
        <v>31</v>
      </c>
      <c r="S47" t="str">
        <f ca="1"/>
        <v>normal</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60DC9-EF37-4D81-99AD-1C47B5A6A6A8}">
  <dimension ref="A1:B251"/>
  <sheetViews>
    <sheetView topLeftCell="A2" zoomScale="80" zoomScaleNormal="80" workbookViewId="0">
      <selection activeCell="D38" sqref="D37:D38"/>
    </sheetView>
  </sheetViews>
  <sheetFormatPr defaultRowHeight="14.25" x14ac:dyDescent="0.45"/>
  <cols>
    <col min="1" max="1" width="15.19921875" customWidth="1"/>
    <col min="2" max="2" width="12.46484375" customWidth="1"/>
  </cols>
  <sheetData>
    <row r="1" spans="1:2" ht="14.65" thickBot="1" x14ac:dyDescent="0.5">
      <c r="A1" s="17" t="s">
        <v>406</v>
      </c>
      <c r="B1" s="20" t="s">
        <v>407</v>
      </c>
    </row>
    <row r="2" spans="1:2" x14ac:dyDescent="0.45">
      <c r="A2" s="15" t="s">
        <v>18</v>
      </c>
      <c r="B2" s="19">
        <f>SUMIFS(SalesData[Total_Amount],SalesData[Customer_Name],A2)</f>
        <v>10559.769999999999</v>
      </c>
    </row>
    <row r="3" spans="1:2" x14ac:dyDescent="0.45">
      <c r="A3" s="16" t="s">
        <v>27</v>
      </c>
      <c r="B3" s="18">
        <f>SUMIFS(SalesData[Total_Amount],SalesData[Customer_Name],A3)</f>
        <v>6949.84</v>
      </c>
    </row>
    <row r="4" spans="1:2" x14ac:dyDescent="0.45">
      <c r="A4" s="15" t="s">
        <v>32</v>
      </c>
      <c r="B4" s="18">
        <f>SUMIFS(SalesData[Total_Amount],SalesData[Customer_Name],A4)</f>
        <v>3259.87</v>
      </c>
    </row>
    <row r="5" spans="1:2" x14ac:dyDescent="0.45">
      <c r="A5" s="16" t="s">
        <v>41</v>
      </c>
      <c r="B5" s="18">
        <f>SUMIFS(SalesData[Total_Amount],SalesData[Customer_Name],A5)</f>
        <v>4309.8099999999995</v>
      </c>
    </row>
    <row r="6" spans="1:2" x14ac:dyDescent="0.45">
      <c r="A6" s="15" t="s">
        <v>45</v>
      </c>
      <c r="B6" s="18">
        <f>SUMIFS(SalesData[Total_Amount],SalesData[Customer_Name],A6)</f>
        <v>6169.7400000000007</v>
      </c>
    </row>
    <row r="7" spans="1:2" x14ac:dyDescent="0.45">
      <c r="A7" s="16" t="s">
        <v>51</v>
      </c>
      <c r="B7" s="18">
        <f>SUMIFS(SalesData[Total_Amount],SalesData[Customer_Name],A7)</f>
        <v>8269.7900000000009</v>
      </c>
    </row>
    <row r="8" spans="1:2" x14ac:dyDescent="0.45">
      <c r="A8" s="15" t="s">
        <v>51</v>
      </c>
      <c r="B8" s="18">
        <f>SUMIFS(SalesData[Total_Amount],SalesData[Customer_Name],A8)</f>
        <v>8269.7900000000009</v>
      </c>
    </row>
    <row r="9" spans="1:2" x14ac:dyDescent="0.45">
      <c r="A9" s="16" t="s">
        <v>58</v>
      </c>
      <c r="B9" s="18">
        <f>SUMIFS(SalesData[Total_Amount],SalesData[Customer_Name],A9)</f>
        <v>5089.7300000000005</v>
      </c>
    </row>
    <row r="10" spans="1:2" x14ac:dyDescent="0.45">
      <c r="A10" s="15" t="s">
        <v>62</v>
      </c>
      <c r="B10" s="18">
        <f>SUMIFS(SalesData[Total_Amount],SalesData[Customer_Name],A10)</f>
        <v>3509.8999999999996</v>
      </c>
    </row>
    <row r="11" spans="1:2" x14ac:dyDescent="0.45">
      <c r="A11" s="16" t="s">
        <v>68</v>
      </c>
      <c r="B11" s="18">
        <f>SUMIFS(SalesData[Total_Amount],SalesData[Customer_Name],A11)</f>
        <v>8009.7699999999995</v>
      </c>
    </row>
    <row r="12" spans="1:2" x14ac:dyDescent="0.45">
      <c r="A12" s="15" t="s">
        <v>71</v>
      </c>
      <c r="B12" s="18">
        <f>SUMIFS(SalesData[Total_Amount],SalesData[Customer_Name],A12)</f>
        <v>1979.89</v>
      </c>
    </row>
    <row r="13" spans="1:2" x14ac:dyDescent="0.45">
      <c r="A13" s="16" t="s">
        <v>41</v>
      </c>
      <c r="B13" s="18">
        <f>SUMIFS(SalesData[Total_Amount],SalesData[Customer_Name],A13)</f>
        <v>4309.8099999999995</v>
      </c>
    </row>
    <row r="14" spans="1:2" x14ac:dyDescent="0.45">
      <c r="A14" s="15" t="s">
        <v>75</v>
      </c>
      <c r="B14" s="18">
        <f>SUMIFS(SalesData[Total_Amount],SalesData[Customer_Name],A14)</f>
        <v>5949.85</v>
      </c>
    </row>
    <row r="15" spans="1:2" x14ac:dyDescent="0.45">
      <c r="A15" s="16" t="s">
        <v>78</v>
      </c>
      <c r="B15" s="18">
        <f>SUMIFS(SalesData[Total_Amount],SalesData[Customer_Name],A15)</f>
        <v>479.91999999999996</v>
      </c>
    </row>
    <row r="16" spans="1:2" x14ac:dyDescent="0.45">
      <c r="A16" s="15" t="s">
        <v>81</v>
      </c>
      <c r="B16" s="18">
        <f>SUMIFS(SalesData[Total_Amount],SalesData[Customer_Name],A16)</f>
        <v>4199.9399999999996</v>
      </c>
    </row>
    <row r="17" spans="1:2" x14ac:dyDescent="0.45">
      <c r="A17" s="16" t="s">
        <v>86</v>
      </c>
      <c r="B17" s="18">
        <f>SUMIFS(SalesData[Total_Amount],SalesData[Customer_Name],A17)</f>
        <v>3779.93</v>
      </c>
    </row>
    <row r="18" spans="1:2" x14ac:dyDescent="0.45">
      <c r="A18" s="15" t="s">
        <v>89</v>
      </c>
      <c r="B18" s="18">
        <f>SUMIFS(SalesData[Total_Amount],SalesData[Customer_Name],A18)</f>
        <v>15659.65</v>
      </c>
    </row>
    <row r="19" spans="1:2" x14ac:dyDescent="0.45">
      <c r="A19" s="16" t="s">
        <v>92</v>
      </c>
      <c r="B19" s="18">
        <f>SUMIFS(SalesData[Total_Amount],SalesData[Customer_Name],A19)</f>
        <v>1909.93</v>
      </c>
    </row>
    <row r="20" spans="1:2" x14ac:dyDescent="0.45">
      <c r="A20" s="15" t="s">
        <v>89</v>
      </c>
      <c r="B20" s="18">
        <f>SUMIFS(SalesData[Total_Amount],SalesData[Customer_Name],A20)</f>
        <v>15659.65</v>
      </c>
    </row>
    <row r="21" spans="1:2" x14ac:dyDescent="0.45">
      <c r="A21" s="16" t="s">
        <v>96</v>
      </c>
      <c r="B21" s="18">
        <f>SUMIFS(SalesData[Total_Amount],SalesData[Customer_Name],A21)</f>
        <v>4789.7900000000009</v>
      </c>
    </row>
    <row r="22" spans="1:2" x14ac:dyDescent="0.45">
      <c r="A22" s="15" t="s">
        <v>99</v>
      </c>
      <c r="B22" s="18">
        <f>SUMIFS(SalesData[Total_Amount],SalesData[Customer_Name],A22)</f>
        <v>10649.8</v>
      </c>
    </row>
    <row r="23" spans="1:2" x14ac:dyDescent="0.45">
      <c r="A23" s="16" t="s">
        <v>102</v>
      </c>
      <c r="B23" s="18">
        <f>SUMIFS(SalesData[Total_Amount],SalesData[Customer_Name],A23)</f>
        <v>9799.73</v>
      </c>
    </row>
    <row r="24" spans="1:2" x14ac:dyDescent="0.45">
      <c r="A24" s="15" t="s">
        <v>105</v>
      </c>
      <c r="B24" s="18">
        <f>SUMIFS(SalesData[Total_Amount],SalesData[Customer_Name],A24)</f>
        <v>3769.8300000000004</v>
      </c>
    </row>
    <row r="25" spans="1:2" x14ac:dyDescent="0.45">
      <c r="A25" s="16" t="s">
        <v>89</v>
      </c>
      <c r="B25" s="18">
        <f>SUMIFS(SalesData[Total_Amount],SalesData[Customer_Name],A25)</f>
        <v>15659.65</v>
      </c>
    </row>
    <row r="26" spans="1:2" x14ac:dyDescent="0.45">
      <c r="A26" s="15" t="s">
        <v>111</v>
      </c>
      <c r="B26" s="18">
        <f>SUMIFS(SalesData[Total_Amount],SalesData[Customer_Name],A26)</f>
        <v>4189.7700000000004</v>
      </c>
    </row>
    <row r="27" spans="1:2" x14ac:dyDescent="0.45">
      <c r="A27" s="16" t="s">
        <v>71</v>
      </c>
      <c r="B27" s="18">
        <f>SUMIFS(SalesData[Total_Amount],SalesData[Customer_Name],A27)</f>
        <v>1979.89</v>
      </c>
    </row>
    <row r="28" spans="1:2" x14ac:dyDescent="0.45">
      <c r="A28" s="15" t="s">
        <v>115</v>
      </c>
      <c r="B28" s="18">
        <f>SUMIFS(SalesData[Total_Amount],SalesData[Customer_Name],A28)</f>
        <v>1289.9000000000001</v>
      </c>
    </row>
    <row r="29" spans="1:2" x14ac:dyDescent="0.45">
      <c r="A29" s="16" t="s">
        <v>102</v>
      </c>
      <c r="B29" s="18">
        <f>SUMIFS(SalesData[Total_Amount],SalesData[Customer_Name],A29)</f>
        <v>9799.73</v>
      </c>
    </row>
    <row r="30" spans="1:2" x14ac:dyDescent="0.45">
      <c r="A30" s="15" t="s">
        <v>123</v>
      </c>
      <c r="B30" s="18">
        <f>SUMIFS(SalesData[Total_Amount],SalesData[Customer_Name],A30)</f>
        <v>6459.79</v>
      </c>
    </row>
    <row r="31" spans="1:2" x14ac:dyDescent="0.45">
      <c r="A31" s="16" t="s">
        <v>126</v>
      </c>
      <c r="B31" s="18">
        <f>SUMIFS(SalesData[Total_Amount],SalesData[Customer_Name],A31)</f>
        <v>11919.769999999999</v>
      </c>
    </row>
    <row r="32" spans="1:2" x14ac:dyDescent="0.45">
      <c r="A32" s="15" t="s">
        <v>58</v>
      </c>
      <c r="B32" s="18">
        <f>SUMIFS(SalesData[Total_Amount],SalesData[Customer_Name],A32)</f>
        <v>5089.7300000000005</v>
      </c>
    </row>
    <row r="33" spans="1:2" x14ac:dyDescent="0.45">
      <c r="A33" s="16" t="s">
        <v>132</v>
      </c>
      <c r="B33" s="18">
        <f>SUMIFS(SalesData[Total_Amount],SalesData[Customer_Name],A33)</f>
        <v>2039.8000000000002</v>
      </c>
    </row>
    <row r="34" spans="1:2" x14ac:dyDescent="0.45">
      <c r="A34" s="15" t="s">
        <v>135</v>
      </c>
      <c r="B34" s="18">
        <f>SUMIFS(SalesData[Total_Amount],SalesData[Customer_Name],A34)</f>
        <v>1229.8800000000001</v>
      </c>
    </row>
    <row r="35" spans="1:2" x14ac:dyDescent="0.45">
      <c r="A35" s="16" t="s">
        <v>32</v>
      </c>
      <c r="B35" s="18">
        <f>SUMIFS(SalesData[Total_Amount],SalesData[Customer_Name],A35)</f>
        <v>3259.87</v>
      </c>
    </row>
    <row r="36" spans="1:2" x14ac:dyDescent="0.45">
      <c r="A36" s="15" t="s">
        <v>102</v>
      </c>
      <c r="B36" s="18">
        <f>SUMIFS(SalesData[Total_Amount],SalesData[Customer_Name],A36)</f>
        <v>9799.73</v>
      </c>
    </row>
    <row r="37" spans="1:2" x14ac:dyDescent="0.45">
      <c r="A37" s="16" t="s">
        <v>132</v>
      </c>
      <c r="B37" s="18">
        <f>SUMIFS(SalesData[Total_Amount],SalesData[Customer_Name],A37)</f>
        <v>2039.8000000000002</v>
      </c>
    </row>
    <row r="38" spans="1:2" x14ac:dyDescent="0.45">
      <c r="A38" s="15" t="s">
        <v>141</v>
      </c>
      <c r="B38" s="18">
        <f>SUMIFS(SalesData[Total_Amount],SalesData[Customer_Name],A38)</f>
        <v>2649.83</v>
      </c>
    </row>
    <row r="39" spans="1:2" x14ac:dyDescent="0.45">
      <c r="A39" s="16" t="s">
        <v>144</v>
      </c>
      <c r="B39" s="18">
        <f>SUMIFS(SalesData[Total_Amount],SalesData[Customer_Name],A39)</f>
        <v>4739.8500000000004</v>
      </c>
    </row>
    <row r="40" spans="1:2" x14ac:dyDescent="0.45">
      <c r="A40" s="15" t="s">
        <v>147</v>
      </c>
      <c r="B40" s="18">
        <f>SUMIFS(SalesData[Total_Amount],SalesData[Customer_Name],A40)</f>
        <v>5519.8899999999994</v>
      </c>
    </row>
    <row r="41" spans="1:2" x14ac:dyDescent="0.45">
      <c r="A41" s="16" t="s">
        <v>150</v>
      </c>
      <c r="B41" s="18">
        <f>SUMIFS(SalesData[Total_Amount],SalesData[Customer_Name],A41)</f>
        <v>7309.7999999999993</v>
      </c>
    </row>
    <row r="42" spans="1:2" x14ac:dyDescent="0.45">
      <c r="A42" s="15" t="s">
        <v>153</v>
      </c>
      <c r="B42" s="18">
        <f>SUMIFS(SalesData[Total_Amount],SalesData[Customer_Name],A42)</f>
        <v>5619.869999999999</v>
      </c>
    </row>
    <row r="43" spans="1:2" x14ac:dyDescent="0.45">
      <c r="A43" s="16" t="s">
        <v>58</v>
      </c>
      <c r="B43" s="18">
        <f>SUMIFS(SalesData[Total_Amount],SalesData[Customer_Name],A43)</f>
        <v>5089.7300000000005</v>
      </c>
    </row>
    <row r="44" spans="1:2" x14ac:dyDescent="0.45">
      <c r="A44" s="15" t="s">
        <v>157</v>
      </c>
      <c r="B44" s="18">
        <f>SUMIFS(SalesData[Total_Amount],SalesData[Customer_Name],A44)</f>
        <v>5499.8099999999995</v>
      </c>
    </row>
    <row r="45" spans="1:2" x14ac:dyDescent="0.45">
      <c r="A45" s="16" t="s">
        <v>27</v>
      </c>
      <c r="B45" s="18">
        <f>SUMIFS(SalesData[Total_Amount],SalesData[Customer_Name],A45)</f>
        <v>6949.84</v>
      </c>
    </row>
    <row r="46" spans="1:2" x14ac:dyDescent="0.45">
      <c r="A46" s="15" t="s">
        <v>161</v>
      </c>
      <c r="B46" s="18">
        <f>SUMIFS(SalesData[Total_Amount],SalesData[Customer_Name],A46)</f>
        <v>5649.84</v>
      </c>
    </row>
    <row r="47" spans="1:2" x14ac:dyDescent="0.45">
      <c r="A47" s="16" t="s">
        <v>45</v>
      </c>
      <c r="B47" s="18">
        <f>SUMIFS(SalesData[Total_Amount],SalesData[Customer_Name],A47)</f>
        <v>6169.7400000000007</v>
      </c>
    </row>
    <row r="48" spans="1:2" x14ac:dyDescent="0.45">
      <c r="A48" s="15" t="s">
        <v>165</v>
      </c>
      <c r="B48" s="18">
        <f>SUMIFS(SalesData[Total_Amount],SalesData[Customer_Name],A48)</f>
        <v>239.96</v>
      </c>
    </row>
    <row r="49" spans="1:2" x14ac:dyDescent="0.45">
      <c r="A49" s="16" t="s">
        <v>132</v>
      </c>
      <c r="B49" s="18">
        <f>SUMIFS(SalesData[Total_Amount],SalesData[Customer_Name],A49)</f>
        <v>2039.8000000000002</v>
      </c>
    </row>
    <row r="50" spans="1:2" x14ac:dyDescent="0.45">
      <c r="A50" s="15" t="s">
        <v>102</v>
      </c>
      <c r="B50" s="18">
        <f>SUMIFS(SalesData[Total_Amount],SalesData[Customer_Name],A50)</f>
        <v>9799.73</v>
      </c>
    </row>
    <row r="51" spans="1:2" x14ac:dyDescent="0.45">
      <c r="A51" s="16" t="s">
        <v>18</v>
      </c>
      <c r="B51" s="18">
        <f>SUMIFS(SalesData[Total_Amount],SalesData[Customer_Name],A51)</f>
        <v>10559.769999999999</v>
      </c>
    </row>
    <row r="52" spans="1:2" x14ac:dyDescent="0.45">
      <c r="A52" s="15" t="s">
        <v>126</v>
      </c>
      <c r="B52" s="18">
        <f>SUMIFS(SalesData[Total_Amount],SalesData[Customer_Name],A52)</f>
        <v>11919.769999999999</v>
      </c>
    </row>
    <row r="53" spans="1:2" x14ac:dyDescent="0.45">
      <c r="A53" s="16" t="s">
        <v>161</v>
      </c>
      <c r="B53" s="18">
        <f>SUMIFS(SalesData[Total_Amount],SalesData[Customer_Name],A53)</f>
        <v>5649.84</v>
      </c>
    </row>
    <row r="54" spans="1:2" x14ac:dyDescent="0.45">
      <c r="A54" s="15" t="s">
        <v>144</v>
      </c>
      <c r="B54" s="18">
        <f>SUMIFS(SalesData[Total_Amount],SalesData[Customer_Name],A54)</f>
        <v>4739.8500000000004</v>
      </c>
    </row>
    <row r="55" spans="1:2" x14ac:dyDescent="0.45">
      <c r="A55" s="16" t="s">
        <v>174</v>
      </c>
      <c r="B55" s="18">
        <f>SUMIFS(SalesData[Total_Amount],SalesData[Customer_Name],A55)</f>
        <v>3669.8500000000004</v>
      </c>
    </row>
    <row r="56" spans="1:2" x14ac:dyDescent="0.45">
      <c r="A56" s="15" t="s">
        <v>32</v>
      </c>
      <c r="B56" s="18">
        <f>SUMIFS(SalesData[Total_Amount],SalesData[Customer_Name],A56)</f>
        <v>3259.87</v>
      </c>
    </row>
    <row r="57" spans="1:2" x14ac:dyDescent="0.45">
      <c r="A57" s="16" t="s">
        <v>62</v>
      </c>
      <c r="B57" s="18">
        <f>SUMIFS(SalesData[Total_Amount],SalesData[Customer_Name],A57)</f>
        <v>3509.8999999999996</v>
      </c>
    </row>
    <row r="58" spans="1:2" x14ac:dyDescent="0.45">
      <c r="A58" s="15" t="s">
        <v>41</v>
      </c>
      <c r="B58" s="18">
        <f>SUMIFS(SalesData[Total_Amount],SalesData[Customer_Name],A58)</f>
        <v>4309.8099999999995</v>
      </c>
    </row>
    <row r="59" spans="1:2" x14ac:dyDescent="0.45">
      <c r="A59" s="16" t="s">
        <v>102</v>
      </c>
      <c r="B59" s="18">
        <f>SUMIFS(SalesData[Total_Amount],SalesData[Customer_Name],A59)</f>
        <v>9799.73</v>
      </c>
    </row>
    <row r="60" spans="1:2" x14ac:dyDescent="0.45">
      <c r="A60" s="15" t="s">
        <v>123</v>
      </c>
      <c r="B60" s="18">
        <f>SUMIFS(SalesData[Total_Amount],SalesData[Customer_Name],A60)</f>
        <v>6459.79</v>
      </c>
    </row>
    <row r="61" spans="1:2" x14ac:dyDescent="0.45">
      <c r="A61" s="16" t="s">
        <v>135</v>
      </c>
      <c r="B61" s="18">
        <f>SUMIFS(SalesData[Total_Amount],SalesData[Customer_Name],A61)</f>
        <v>1229.8800000000001</v>
      </c>
    </row>
    <row r="62" spans="1:2" x14ac:dyDescent="0.45">
      <c r="A62" s="15" t="s">
        <v>58</v>
      </c>
      <c r="B62" s="18">
        <f>SUMIFS(SalesData[Total_Amount],SalesData[Customer_Name],A62)</f>
        <v>5089.7300000000005</v>
      </c>
    </row>
    <row r="63" spans="1:2" x14ac:dyDescent="0.45">
      <c r="A63" s="16" t="s">
        <v>71</v>
      </c>
      <c r="B63" s="18">
        <f>SUMIFS(SalesData[Total_Amount],SalesData[Customer_Name],A63)</f>
        <v>1979.89</v>
      </c>
    </row>
    <row r="64" spans="1:2" x14ac:dyDescent="0.45">
      <c r="A64" s="15" t="s">
        <v>185</v>
      </c>
      <c r="B64" s="18">
        <f>SUMIFS(SalesData[Total_Amount],SalesData[Customer_Name],A64)</f>
        <v>1809.84</v>
      </c>
    </row>
    <row r="65" spans="1:2" x14ac:dyDescent="0.45">
      <c r="A65" s="16" t="s">
        <v>188</v>
      </c>
      <c r="B65" s="18">
        <f>SUMIFS(SalesData[Total_Amount],SalesData[Customer_Name],A65)</f>
        <v>2099.88</v>
      </c>
    </row>
    <row r="66" spans="1:2" x14ac:dyDescent="0.45">
      <c r="A66" s="15" t="s">
        <v>45</v>
      </c>
      <c r="B66" s="18">
        <f>SUMIFS(SalesData[Total_Amount],SalesData[Customer_Name],A66)</f>
        <v>6169.7400000000007</v>
      </c>
    </row>
    <row r="67" spans="1:2" x14ac:dyDescent="0.45">
      <c r="A67" s="16" t="s">
        <v>99</v>
      </c>
      <c r="B67" s="18">
        <f>SUMIFS(SalesData[Total_Amount],SalesData[Customer_Name],A67)</f>
        <v>10649.8</v>
      </c>
    </row>
    <row r="68" spans="1:2" x14ac:dyDescent="0.45">
      <c r="A68" s="15" t="s">
        <v>174</v>
      </c>
      <c r="B68" s="18">
        <f>SUMIFS(SalesData[Total_Amount],SalesData[Customer_Name],A68)</f>
        <v>3669.8500000000004</v>
      </c>
    </row>
    <row r="69" spans="1:2" x14ac:dyDescent="0.45">
      <c r="A69" s="16" t="s">
        <v>27</v>
      </c>
      <c r="B69" s="18">
        <f>SUMIFS(SalesData[Total_Amount],SalesData[Customer_Name],A69)</f>
        <v>6949.84</v>
      </c>
    </row>
    <row r="70" spans="1:2" x14ac:dyDescent="0.45">
      <c r="A70" s="15" t="s">
        <v>195</v>
      </c>
      <c r="B70" s="18">
        <f>SUMIFS(SalesData[Total_Amount],SalesData[Customer_Name],A70)</f>
        <v>1479.91</v>
      </c>
    </row>
    <row r="71" spans="1:2" x14ac:dyDescent="0.45">
      <c r="A71" s="16" t="s">
        <v>195</v>
      </c>
      <c r="B71" s="18">
        <f>SUMIFS(SalesData[Total_Amount],SalesData[Customer_Name],A71)</f>
        <v>1479.91</v>
      </c>
    </row>
    <row r="72" spans="1:2" x14ac:dyDescent="0.45">
      <c r="A72" s="15" t="s">
        <v>199</v>
      </c>
      <c r="B72" s="18">
        <f>SUMIFS(SalesData[Total_Amount],SalesData[Customer_Name],A72)</f>
        <v>6379.87</v>
      </c>
    </row>
    <row r="73" spans="1:2" x14ac:dyDescent="0.45">
      <c r="A73" s="16" t="s">
        <v>75</v>
      </c>
      <c r="B73" s="18">
        <f>SUMIFS(SalesData[Total_Amount],SalesData[Customer_Name],A73)</f>
        <v>5949.85</v>
      </c>
    </row>
    <row r="74" spans="1:2" x14ac:dyDescent="0.45">
      <c r="A74" s="15" t="s">
        <v>68</v>
      </c>
      <c r="B74" s="18">
        <f>SUMIFS(SalesData[Total_Amount],SalesData[Customer_Name],A74)</f>
        <v>8009.7699999999995</v>
      </c>
    </row>
    <row r="75" spans="1:2" x14ac:dyDescent="0.45">
      <c r="A75" s="16" t="s">
        <v>153</v>
      </c>
      <c r="B75" s="18">
        <f>SUMIFS(SalesData[Total_Amount],SalesData[Customer_Name],A75)</f>
        <v>5619.869999999999</v>
      </c>
    </row>
    <row r="76" spans="1:2" x14ac:dyDescent="0.45">
      <c r="A76" s="15" t="s">
        <v>27</v>
      </c>
      <c r="B76" s="18">
        <f>SUMIFS(SalesData[Total_Amount],SalesData[Customer_Name],A76)</f>
        <v>6949.84</v>
      </c>
    </row>
    <row r="77" spans="1:2" x14ac:dyDescent="0.45">
      <c r="A77" s="16" t="s">
        <v>185</v>
      </c>
      <c r="B77" s="18">
        <f>SUMIFS(SalesData[Total_Amount],SalesData[Customer_Name],A77)</f>
        <v>1809.84</v>
      </c>
    </row>
    <row r="78" spans="1:2" x14ac:dyDescent="0.45">
      <c r="A78" s="15" t="s">
        <v>199</v>
      </c>
      <c r="B78" s="18">
        <f>SUMIFS(SalesData[Total_Amount],SalesData[Customer_Name],A78)</f>
        <v>6379.87</v>
      </c>
    </row>
    <row r="79" spans="1:2" x14ac:dyDescent="0.45">
      <c r="A79" s="16" t="s">
        <v>99</v>
      </c>
      <c r="B79" s="18">
        <f>SUMIFS(SalesData[Total_Amount],SalesData[Customer_Name],A79)</f>
        <v>10649.8</v>
      </c>
    </row>
    <row r="80" spans="1:2" x14ac:dyDescent="0.45">
      <c r="A80" s="15" t="s">
        <v>150</v>
      </c>
      <c r="B80" s="18">
        <f>SUMIFS(SalesData[Total_Amount],SalesData[Customer_Name],A80)</f>
        <v>7309.7999999999993</v>
      </c>
    </row>
    <row r="81" spans="1:2" x14ac:dyDescent="0.45">
      <c r="A81" s="16" t="s">
        <v>89</v>
      </c>
      <c r="B81" s="18">
        <f>SUMIFS(SalesData[Total_Amount],SalesData[Customer_Name],A81)</f>
        <v>15659.65</v>
      </c>
    </row>
    <row r="82" spans="1:2" x14ac:dyDescent="0.45">
      <c r="A82" s="15" t="s">
        <v>150</v>
      </c>
      <c r="B82" s="18">
        <f>SUMIFS(SalesData[Total_Amount],SalesData[Customer_Name],A82)</f>
        <v>7309.7999999999993</v>
      </c>
    </row>
    <row r="83" spans="1:2" x14ac:dyDescent="0.45">
      <c r="A83" s="16" t="s">
        <v>89</v>
      </c>
      <c r="B83" s="18">
        <f>SUMIFS(SalesData[Total_Amount],SalesData[Customer_Name],A83)</f>
        <v>15659.65</v>
      </c>
    </row>
    <row r="84" spans="1:2" x14ac:dyDescent="0.45">
      <c r="A84" s="15" t="s">
        <v>123</v>
      </c>
      <c r="B84" s="18">
        <f>SUMIFS(SalesData[Total_Amount],SalesData[Customer_Name],A84)</f>
        <v>6459.79</v>
      </c>
    </row>
    <row r="85" spans="1:2" x14ac:dyDescent="0.45">
      <c r="A85" s="16" t="s">
        <v>214</v>
      </c>
      <c r="B85" s="18">
        <f>SUMIFS(SalesData[Total_Amount],SalesData[Customer_Name],A85)</f>
        <v>3649.8599999999997</v>
      </c>
    </row>
    <row r="86" spans="1:2" x14ac:dyDescent="0.45">
      <c r="A86" s="15" t="s">
        <v>105</v>
      </c>
      <c r="B86" s="18">
        <f>SUMIFS(SalesData[Total_Amount],SalesData[Customer_Name],A86)</f>
        <v>3769.8300000000004</v>
      </c>
    </row>
    <row r="87" spans="1:2" x14ac:dyDescent="0.45">
      <c r="A87" s="16" t="s">
        <v>92</v>
      </c>
      <c r="B87" s="18">
        <f>SUMIFS(SalesData[Total_Amount],SalesData[Customer_Name],A87)</f>
        <v>1909.93</v>
      </c>
    </row>
    <row r="88" spans="1:2" x14ac:dyDescent="0.45">
      <c r="A88" s="15" t="s">
        <v>89</v>
      </c>
      <c r="B88" s="18">
        <f>SUMIFS(SalesData[Total_Amount],SalesData[Customer_Name],A88)</f>
        <v>15659.65</v>
      </c>
    </row>
    <row r="89" spans="1:2" x14ac:dyDescent="0.45">
      <c r="A89" s="16" t="s">
        <v>185</v>
      </c>
      <c r="B89" s="18">
        <f>SUMIFS(SalesData[Total_Amount],SalesData[Customer_Name],A89)</f>
        <v>1809.84</v>
      </c>
    </row>
    <row r="90" spans="1:2" x14ac:dyDescent="0.45">
      <c r="A90" s="15" t="s">
        <v>188</v>
      </c>
      <c r="B90" s="18">
        <f>SUMIFS(SalesData[Total_Amount],SalesData[Customer_Name],A90)</f>
        <v>2099.88</v>
      </c>
    </row>
    <row r="91" spans="1:2" x14ac:dyDescent="0.45">
      <c r="A91" s="16" t="s">
        <v>68</v>
      </c>
      <c r="B91" s="18">
        <f>SUMIFS(SalesData[Total_Amount],SalesData[Customer_Name],A91)</f>
        <v>8009.7699999999995</v>
      </c>
    </row>
    <row r="92" spans="1:2" x14ac:dyDescent="0.45">
      <c r="A92" s="15" t="s">
        <v>41</v>
      </c>
      <c r="B92" s="18">
        <f>SUMIFS(SalesData[Total_Amount],SalesData[Customer_Name],A92)</f>
        <v>4309.8099999999995</v>
      </c>
    </row>
    <row r="93" spans="1:2" x14ac:dyDescent="0.45">
      <c r="A93" s="16" t="s">
        <v>161</v>
      </c>
      <c r="B93" s="18">
        <f>SUMIFS(SalesData[Total_Amount],SalesData[Customer_Name],A93)</f>
        <v>5649.84</v>
      </c>
    </row>
    <row r="94" spans="1:2" x14ac:dyDescent="0.45">
      <c r="A94" s="15" t="s">
        <v>89</v>
      </c>
      <c r="B94" s="18">
        <f>SUMIFS(SalesData[Total_Amount],SalesData[Customer_Name],A94)</f>
        <v>15659.65</v>
      </c>
    </row>
    <row r="95" spans="1:2" x14ac:dyDescent="0.45">
      <c r="A95" s="16" t="s">
        <v>199</v>
      </c>
      <c r="B95" s="18">
        <f>SUMIFS(SalesData[Total_Amount],SalesData[Customer_Name],A95)</f>
        <v>6379.87</v>
      </c>
    </row>
    <row r="96" spans="1:2" x14ac:dyDescent="0.45">
      <c r="A96" s="15" t="s">
        <v>111</v>
      </c>
      <c r="B96" s="18">
        <f>SUMIFS(SalesData[Total_Amount],SalesData[Customer_Name],A96)</f>
        <v>4189.7700000000004</v>
      </c>
    </row>
    <row r="97" spans="1:2" x14ac:dyDescent="0.45">
      <c r="A97" s="16" t="s">
        <v>105</v>
      </c>
      <c r="B97" s="18">
        <f>SUMIFS(SalesData[Total_Amount],SalesData[Customer_Name],A97)</f>
        <v>3769.8300000000004</v>
      </c>
    </row>
    <row r="98" spans="1:2" x14ac:dyDescent="0.45">
      <c r="A98" s="15" t="s">
        <v>229</v>
      </c>
      <c r="B98" s="18">
        <f>SUMIFS(SalesData[Total_Amount],SalesData[Customer_Name],A98)</f>
        <v>6989.7699999999986</v>
      </c>
    </row>
    <row r="99" spans="1:2" x14ac:dyDescent="0.45">
      <c r="A99" s="16" t="s">
        <v>147</v>
      </c>
      <c r="B99" s="18">
        <f>SUMIFS(SalesData[Total_Amount],SalesData[Customer_Name],A99)</f>
        <v>5519.8899999999994</v>
      </c>
    </row>
    <row r="100" spans="1:2" x14ac:dyDescent="0.45">
      <c r="A100" s="15" t="s">
        <v>199</v>
      </c>
      <c r="B100" s="18">
        <f>SUMIFS(SalesData[Total_Amount],SalesData[Customer_Name],A100)</f>
        <v>6379.87</v>
      </c>
    </row>
    <row r="101" spans="1:2" x14ac:dyDescent="0.45">
      <c r="A101" s="16" t="s">
        <v>234</v>
      </c>
      <c r="B101" s="18">
        <f>SUMIFS(SalesData[Total_Amount],SalesData[Customer_Name],A101)</f>
        <v>1149.93</v>
      </c>
    </row>
    <row r="102" spans="1:2" x14ac:dyDescent="0.45">
      <c r="A102" s="15" t="s">
        <v>237</v>
      </c>
      <c r="B102" s="18">
        <f>SUMIFS(SalesData[Total_Amount],SalesData[Customer_Name],A102)</f>
        <v>6349.83</v>
      </c>
    </row>
    <row r="103" spans="1:2" x14ac:dyDescent="0.45">
      <c r="A103" s="16" t="s">
        <v>234</v>
      </c>
      <c r="B103" s="18">
        <f>SUMIFS(SalesData[Total_Amount],SalesData[Customer_Name],A103)</f>
        <v>1149.93</v>
      </c>
    </row>
    <row r="104" spans="1:2" x14ac:dyDescent="0.45">
      <c r="A104" s="15" t="s">
        <v>18</v>
      </c>
      <c r="B104" s="18">
        <f>SUMIFS(SalesData[Total_Amount],SalesData[Customer_Name],A104)</f>
        <v>10559.769999999999</v>
      </c>
    </row>
    <row r="105" spans="1:2" x14ac:dyDescent="0.45">
      <c r="A105" s="16" t="s">
        <v>229</v>
      </c>
      <c r="B105" s="18">
        <f>SUMIFS(SalesData[Total_Amount],SalesData[Customer_Name],A105)</f>
        <v>6989.7699999999986</v>
      </c>
    </row>
    <row r="106" spans="1:2" x14ac:dyDescent="0.45">
      <c r="A106" s="15" t="s">
        <v>141</v>
      </c>
      <c r="B106" s="18">
        <f>SUMIFS(SalesData[Total_Amount],SalesData[Customer_Name],A106)</f>
        <v>2649.83</v>
      </c>
    </row>
    <row r="107" spans="1:2" x14ac:dyDescent="0.45">
      <c r="A107" s="16" t="s">
        <v>135</v>
      </c>
      <c r="B107" s="18">
        <f>SUMIFS(SalesData[Total_Amount],SalesData[Customer_Name],A107)</f>
        <v>1229.8800000000001</v>
      </c>
    </row>
    <row r="108" spans="1:2" x14ac:dyDescent="0.45">
      <c r="A108" s="15" t="s">
        <v>144</v>
      </c>
      <c r="B108" s="18">
        <f>SUMIFS(SalesData[Total_Amount],SalesData[Customer_Name],A108)</f>
        <v>4739.8500000000004</v>
      </c>
    </row>
    <row r="109" spans="1:2" x14ac:dyDescent="0.45">
      <c r="A109" s="16" t="s">
        <v>58</v>
      </c>
      <c r="B109" s="18">
        <f>SUMIFS(SalesData[Total_Amount],SalesData[Customer_Name],A109)</f>
        <v>5089.7300000000005</v>
      </c>
    </row>
    <row r="110" spans="1:2" x14ac:dyDescent="0.45">
      <c r="A110" s="15" t="s">
        <v>51</v>
      </c>
      <c r="B110" s="18">
        <f>SUMIFS(SalesData[Total_Amount],SalesData[Customer_Name],A110)</f>
        <v>8269.7900000000009</v>
      </c>
    </row>
    <row r="111" spans="1:2" x14ac:dyDescent="0.45">
      <c r="A111" s="16" t="s">
        <v>41</v>
      </c>
      <c r="B111" s="18">
        <f>SUMIFS(SalesData[Total_Amount],SalesData[Customer_Name],A111)</f>
        <v>4309.8099999999995</v>
      </c>
    </row>
    <row r="112" spans="1:2" x14ac:dyDescent="0.45">
      <c r="A112" s="15" t="s">
        <v>249</v>
      </c>
      <c r="B112" s="18">
        <f>SUMIFS(SalesData[Total_Amount],SalesData[Customer_Name],A112)</f>
        <v>1749.92</v>
      </c>
    </row>
    <row r="113" spans="1:2" x14ac:dyDescent="0.45">
      <c r="A113" s="16" t="s">
        <v>68</v>
      </c>
      <c r="B113" s="18">
        <f>SUMIFS(SalesData[Total_Amount],SalesData[Customer_Name],A113)</f>
        <v>8009.7699999999995</v>
      </c>
    </row>
    <row r="114" spans="1:2" x14ac:dyDescent="0.45">
      <c r="A114" s="15" t="s">
        <v>157</v>
      </c>
      <c r="B114" s="18">
        <f>SUMIFS(SalesData[Total_Amount],SalesData[Customer_Name],A114)</f>
        <v>5499.8099999999995</v>
      </c>
    </row>
    <row r="115" spans="1:2" x14ac:dyDescent="0.45">
      <c r="A115" s="16" t="s">
        <v>150</v>
      </c>
      <c r="B115" s="18">
        <f>SUMIFS(SalesData[Total_Amount],SalesData[Customer_Name],A115)</f>
        <v>7309.7999999999993</v>
      </c>
    </row>
    <row r="116" spans="1:2" x14ac:dyDescent="0.45">
      <c r="A116" s="15" t="s">
        <v>255</v>
      </c>
      <c r="B116" s="18">
        <f>SUMIFS(SalesData[Total_Amount],SalesData[Customer_Name],A116)</f>
        <v>4749.91</v>
      </c>
    </row>
    <row r="117" spans="1:2" x14ac:dyDescent="0.45">
      <c r="A117" s="16" t="s">
        <v>75</v>
      </c>
      <c r="B117" s="18">
        <f>SUMIFS(SalesData[Total_Amount],SalesData[Customer_Name],A117)</f>
        <v>5949.85</v>
      </c>
    </row>
    <row r="118" spans="1:2" x14ac:dyDescent="0.45">
      <c r="A118" s="15" t="s">
        <v>237</v>
      </c>
      <c r="B118" s="18">
        <f>SUMIFS(SalesData[Total_Amount],SalesData[Customer_Name],A118)</f>
        <v>6349.83</v>
      </c>
    </row>
    <row r="119" spans="1:2" x14ac:dyDescent="0.45">
      <c r="A119" s="16" t="s">
        <v>115</v>
      </c>
      <c r="B119" s="18">
        <f>SUMIFS(SalesData[Total_Amount],SalesData[Customer_Name],A119)</f>
        <v>1289.9000000000001</v>
      </c>
    </row>
    <row r="120" spans="1:2" x14ac:dyDescent="0.45">
      <c r="A120" s="15" t="s">
        <v>102</v>
      </c>
      <c r="B120" s="18">
        <f>SUMIFS(SalesData[Total_Amount],SalesData[Customer_Name],A120)</f>
        <v>9799.73</v>
      </c>
    </row>
    <row r="121" spans="1:2" x14ac:dyDescent="0.45">
      <c r="A121" s="16" t="s">
        <v>262</v>
      </c>
      <c r="B121" s="18">
        <f>SUMIFS(SalesData[Total_Amount],SalesData[Customer_Name],A121)</f>
        <v>739.93000000000006</v>
      </c>
    </row>
    <row r="122" spans="1:2" x14ac:dyDescent="0.45">
      <c r="A122" s="15" t="s">
        <v>45</v>
      </c>
      <c r="B122" s="18">
        <f>SUMIFS(SalesData[Total_Amount],SalesData[Customer_Name],A122)</f>
        <v>6169.7400000000007</v>
      </c>
    </row>
    <row r="123" spans="1:2" x14ac:dyDescent="0.45">
      <c r="A123" s="16" t="s">
        <v>92</v>
      </c>
      <c r="B123" s="18">
        <f>SUMIFS(SalesData[Total_Amount],SalesData[Customer_Name],A123)</f>
        <v>1909.93</v>
      </c>
    </row>
    <row r="124" spans="1:2" x14ac:dyDescent="0.45">
      <c r="A124" s="15" t="s">
        <v>237</v>
      </c>
      <c r="B124" s="18">
        <f>SUMIFS(SalesData[Total_Amount],SalesData[Customer_Name],A124)</f>
        <v>6349.83</v>
      </c>
    </row>
    <row r="125" spans="1:2" x14ac:dyDescent="0.45">
      <c r="A125" s="16" t="s">
        <v>214</v>
      </c>
      <c r="B125" s="18">
        <f>SUMIFS(SalesData[Total_Amount],SalesData[Customer_Name],A125)</f>
        <v>3649.8599999999997</v>
      </c>
    </row>
    <row r="126" spans="1:2" x14ac:dyDescent="0.45">
      <c r="A126" s="15" t="s">
        <v>234</v>
      </c>
      <c r="B126" s="18">
        <f>SUMIFS(SalesData[Total_Amount],SalesData[Customer_Name],A126)</f>
        <v>1149.93</v>
      </c>
    </row>
    <row r="127" spans="1:2" x14ac:dyDescent="0.45">
      <c r="A127" s="16" t="s">
        <v>150</v>
      </c>
      <c r="B127" s="18">
        <f>SUMIFS(SalesData[Total_Amount],SalesData[Customer_Name],A127)</f>
        <v>7309.7999999999993</v>
      </c>
    </row>
    <row r="128" spans="1:2" x14ac:dyDescent="0.45">
      <c r="A128" s="15" t="s">
        <v>86</v>
      </c>
      <c r="B128" s="18">
        <f>SUMIFS(SalesData[Total_Amount],SalesData[Customer_Name],A128)</f>
        <v>3779.93</v>
      </c>
    </row>
    <row r="129" spans="1:2" x14ac:dyDescent="0.45">
      <c r="A129" s="16" t="s">
        <v>99</v>
      </c>
      <c r="B129" s="18">
        <f>SUMIFS(SalesData[Total_Amount],SalesData[Customer_Name],A129)</f>
        <v>10649.8</v>
      </c>
    </row>
    <row r="130" spans="1:2" x14ac:dyDescent="0.45">
      <c r="A130" s="15" t="s">
        <v>174</v>
      </c>
      <c r="B130" s="18">
        <f>SUMIFS(SalesData[Total_Amount],SalesData[Customer_Name],A130)</f>
        <v>3669.8500000000004</v>
      </c>
    </row>
    <row r="131" spans="1:2" x14ac:dyDescent="0.45">
      <c r="A131" s="16" t="s">
        <v>153</v>
      </c>
      <c r="B131" s="18">
        <f>SUMIFS(SalesData[Total_Amount],SalesData[Customer_Name],A131)</f>
        <v>5619.869999999999</v>
      </c>
    </row>
    <row r="132" spans="1:2" x14ac:dyDescent="0.45">
      <c r="A132" s="15" t="s">
        <v>229</v>
      </c>
      <c r="B132" s="18">
        <f>SUMIFS(SalesData[Total_Amount],SalesData[Customer_Name],A132)</f>
        <v>6989.7699999999986</v>
      </c>
    </row>
    <row r="133" spans="1:2" x14ac:dyDescent="0.45">
      <c r="A133" s="16" t="s">
        <v>229</v>
      </c>
      <c r="B133" s="18">
        <f>SUMIFS(SalesData[Total_Amount],SalesData[Customer_Name],A133)</f>
        <v>6989.7699999999986</v>
      </c>
    </row>
    <row r="134" spans="1:2" x14ac:dyDescent="0.45">
      <c r="A134" s="15" t="s">
        <v>41</v>
      </c>
      <c r="B134" s="18">
        <f>SUMIFS(SalesData[Total_Amount],SalesData[Customer_Name],A134)</f>
        <v>4309.8099999999995</v>
      </c>
    </row>
    <row r="135" spans="1:2" x14ac:dyDescent="0.45">
      <c r="A135" s="16" t="s">
        <v>157</v>
      </c>
      <c r="B135" s="18">
        <f>SUMIFS(SalesData[Total_Amount],SalesData[Customer_Name],A135)</f>
        <v>5499.8099999999995</v>
      </c>
    </row>
    <row r="136" spans="1:2" x14ac:dyDescent="0.45">
      <c r="A136" s="15" t="s">
        <v>161</v>
      </c>
      <c r="B136" s="18">
        <f>SUMIFS(SalesData[Total_Amount],SalesData[Customer_Name],A136)</f>
        <v>5649.84</v>
      </c>
    </row>
    <row r="137" spans="1:2" x14ac:dyDescent="0.45">
      <c r="A137" s="16" t="s">
        <v>174</v>
      </c>
      <c r="B137" s="18">
        <f>SUMIFS(SalesData[Total_Amount],SalesData[Customer_Name],A137)</f>
        <v>3669.8500000000004</v>
      </c>
    </row>
    <row r="138" spans="1:2" x14ac:dyDescent="0.45">
      <c r="A138" s="15" t="s">
        <v>18</v>
      </c>
      <c r="B138" s="18">
        <f>SUMIFS(SalesData[Total_Amount],SalesData[Customer_Name],A138)</f>
        <v>10559.769999999999</v>
      </c>
    </row>
    <row r="139" spans="1:2" x14ac:dyDescent="0.45">
      <c r="A139" s="16" t="s">
        <v>68</v>
      </c>
      <c r="B139" s="18">
        <f>SUMIFS(SalesData[Total_Amount],SalesData[Customer_Name],A139)</f>
        <v>8009.7699999999995</v>
      </c>
    </row>
    <row r="140" spans="1:2" x14ac:dyDescent="0.45">
      <c r="A140" s="15" t="s">
        <v>102</v>
      </c>
      <c r="B140" s="18">
        <f>SUMIFS(SalesData[Total_Amount],SalesData[Customer_Name],A140)</f>
        <v>9799.73</v>
      </c>
    </row>
    <row r="141" spans="1:2" x14ac:dyDescent="0.45">
      <c r="A141" s="16" t="s">
        <v>92</v>
      </c>
      <c r="B141" s="18">
        <f>SUMIFS(SalesData[Total_Amount],SalesData[Customer_Name],A141)</f>
        <v>1909.93</v>
      </c>
    </row>
    <row r="142" spans="1:2" x14ac:dyDescent="0.45">
      <c r="A142" s="15" t="s">
        <v>188</v>
      </c>
      <c r="B142" s="18">
        <f>SUMIFS(SalesData[Total_Amount],SalesData[Customer_Name],A142)</f>
        <v>2099.88</v>
      </c>
    </row>
    <row r="143" spans="1:2" x14ac:dyDescent="0.45">
      <c r="A143" s="16" t="s">
        <v>75</v>
      </c>
      <c r="B143" s="18">
        <f>SUMIFS(SalesData[Total_Amount],SalesData[Customer_Name],A143)</f>
        <v>5949.85</v>
      </c>
    </row>
    <row r="144" spans="1:2" x14ac:dyDescent="0.45">
      <c r="A144" s="15" t="s">
        <v>18</v>
      </c>
      <c r="B144" s="18">
        <f>SUMIFS(SalesData[Total_Amount],SalesData[Customer_Name],A144)</f>
        <v>10559.769999999999</v>
      </c>
    </row>
    <row r="145" spans="1:2" x14ac:dyDescent="0.45">
      <c r="A145" s="16" t="s">
        <v>102</v>
      </c>
      <c r="B145" s="18">
        <f>SUMIFS(SalesData[Total_Amount],SalesData[Customer_Name],A145)</f>
        <v>9799.73</v>
      </c>
    </row>
    <row r="146" spans="1:2" x14ac:dyDescent="0.45">
      <c r="A146" s="15" t="s">
        <v>157</v>
      </c>
      <c r="B146" s="18">
        <f>SUMIFS(SalesData[Total_Amount],SalesData[Customer_Name],A146)</f>
        <v>5499.8099999999995</v>
      </c>
    </row>
    <row r="147" spans="1:2" x14ac:dyDescent="0.45">
      <c r="A147" s="16" t="s">
        <v>86</v>
      </c>
      <c r="B147" s="18">
        <f>SUMIFS(SalesData[Total_Amount],SalesData[Customer_Name],A147)</f>
        <v>3779.93</v>
      </c>
    </row>
    <row r="148" spans="1:2" x14ac:dyDescent="0.45">
      <c r="A148" s="15" t="s">
        <v>237</v>
      </c>
      <c r="B148" s="18">
        <f>SUMIFS(SalesData[Total_Amount],SalesData[Customer_Name],A148)</f>
        <v>6349.83</v>
      </c>
    </row>
    <row r="149" spans="1:2" x14ac:dyDescent="0.45">
      <c r="A149" s="16" t="s">
        <v>89</v>
      </c>
      <c r="B149" s="18">
        <f>SUMIFS(SalesData[Total_Amount],SalesData[Customer_Name],A149)</f>
        <v>15659.65</v>
      </c>
    </row>
    <row r="150" spans="1:2" x14ac:dyDescent="0.45">
      <c r="A150" s="15" t="s">
        <v>126</v>
      </c>
      <c r="B150" s="18">
        <f>SUMIFS(SalesData[Total_Amount],SalesData[Customer_Name],A150)</f>
        <v>11919.769999999999</v>
      </c>
    </row>
    <row r="151" spans="1:2" x14ac:dyDescent="0.45">
      <c r="A151" s="16" t="s">
        <v>195</v>
      </c>
      <c r="B151" s="18">
        <f>SUMIFS(SalesData[Total_Amount],SalesData[Customer_Name],A151)</f>
        <v>1479.91</v>
      </c>
    </row>
    <row r="152" spans="1:2" x14ac:dyDescent="0.45">
      <c r="A152" s="15" t="s">
        <v>157</v>
      </c>
      <c r="B152" s="18">
        <f>SUMIFS(SalesData[Total_Amount],SalesData[Customer_Name],A152)</f>
        <v>5499.8099999999995</v>
      </c>
    </row>
    <row r="153" spans="1:2" x14ac:dyDescent="0.45">
      <c r="A153" s="16" t="s">
        <v>296</v>
      </c>
      <c r="B153" s="18">
        <f>SUMIFS(SalesData[Total_Amount],SalesData[Customer_Name],A153)</f>
        <v>4829.8899999999994</v>
      </c>
    </row>
    <row r="154" spans="1:2" x14ac:dyDescent="0.45">
      <c r="A154" s="15" t="s">
        <v>115</v>
      </c>
      <c r="B154" s="18">
        <f>SUMIFS(SalesData[Total_Amount],SalesData[Customer_Name],A154)</f>
        <v>1289.9000000000001</v>
      </c>
    </row>
    <row r="155" spans="1:2" x14ac:dyDescent="0.45">
      <c r="A155" s="16" t="s">
        <v>32</v>
      </c>
      <c r="B155" s="18">
        <f>SUMIFS(SalesData[Total_Amount],SalesData[Customer_Name],A155)</f>
        <v>3259.87</v>
      </c>
    </row>
    <row r="156" spans="1:2" x14ac:dyDescent="0.45">
      <c r="A156" s="15" t="s">
        <v>58</v>
      </c>
      <c r="B156" s="18">
        <f>SUMIFS(SalesData[Total_Amount],SalesData[Customer_Name],A156)</f>
        <v>5089.7300000000005</v>
      </c>
    </row>
    <row r="157" spans="1:2" x14ac:dyDescent="0.45">
      <c r="A157" s="16" t="s">
        <v>27</v>
      </c>
      <c r="B157" s="18">
        <f>SUMIFS(SalesData[Total_Amount],SalesData[Customer_Name],A157)</f>
        <v>6949.84</v>
      </c>
    </row>
    <row r="158" spans="1:2" x14ac:dyDescent="0.45">
      <c r="A158" s="15" t="s">
        <v>89</v>
      </c>
      <c r="B158" s="18">
        <f>SUMIFS(SalesData[Total_Amount],SalesData[Customer_Name],A158)</f>
        <v>15659.65</v>
      </c>
    </row>
    <row r="159" spans="1:2" x14ac:dyDescent="0.45">
      <c r="A159" s="16" t="s">
        <v>255</v>
      </c>
      <c r="B159" s="18">
        <f>SUMIFS(SalesData[Total_Amount],SalesData[Customer_Name],A159)</f>
        <v>4749.91</v>
      </c>
    </row>
    <row r="160" spans="1:2" x14ac:dyDescent="0.45">
      <c r="A160" s="15" t="s">
        <v>51</v>
      </c>
      <c r="B160" s="18">
        <f>SUMIFS(SalesData[Total_Amount],SalesData[Customer_Name],A160)</f>
        <v>8269.7900000000009</v>
      </c>
    </row>
    <row r="161" spans="1:2" x14ac:dyDescent="0.45">
      <c r="A161" s="16" t="s">
        <v>111</v>
      </c>
      <c r="B161" s="18">
        <f>SUMIFS(SalesData[Total_Amount],SalesData[Customer_Name],A161)</f>
        <v>4189.7700000000004</v>
      </c>
    </row>
    <row r="162" spans="1:2" x14ac:dyDescent="0.45">
      <c r="A162" s="15" t="s">
        <v>307</v>
      </c>
      <c r="B162" s="18">
        <f>SUMIFS(SalesData[Total_Amount],SalesData[Customer_Name],A162)</f>
        <v>179.97</v>
      </c>
    </row>
    <row r="163" spans="1:2" x14ac:dyDescent="0.45">
      <c r="A163" s="16" t="s">
        <v>144</v>
      </c>
      <c r="B163" s="18">
        <f>SUMIFS(SalesData[Total_Amount],SalesData[Customer_Name],A163)</f>
        <v>4739.8500000000004</v>
      </c>
    </row>
    <row r="164" spans="1:2" x14ac:dyDescent="0.45">
      <c r="A164" s="15" t="s">
        <v>123</v>
      </c>
      <c r="B164" s="18">
        <f>SUMIFS(SalesData[Total_Amount],SalesData[Customer_Name],A164)</f>
        <v>6459.79</v>
      </c>
    </row>
    <row r="165" spans="1:2" x14ac:dyDescent="0.45">
      <c r="A165" s="16" t="s">
        <v>75</v>
      </c>
      <c r="B165" s="18">
        <f>SUMIFS(SalesData[Total_Amount],SalesData[Customer_Name],A165)</f>
        <v>5949.85</v>
      </c>
    </row>
    <row r="166" spans="1:2" x14ac:dyDescent="0.45">
      <c r="A166" s="15" t="s">
        <v>185</v>
      </c>
      <c r="B166" s="18">
        <f>SUMIFS(SalesData[Total_Amount],SalesData[Customer_Name],A166)</f>
        <v>1809.84</v>
      </c>
    </row>
    <row r="167" spans="1:2" x14ac:dyDescent="0.45">
      <c r="A167" s="16" t="s">
        <v>141</v>
      </c>
      <c r="B167" s="18">
        <f>SUMIFS(SalesData[Total_Amount],SalesData[Customer_Name],A167)</f>
        <v>2649.83</v>
      </c>
    </row>
    <row r="168" spans="1:2" x14ac:dyDescent="0.45">
      <c r="A168" s="15" t="s">
        <v>135</v>
      </c>
      <c r="B168" s="18">
        <f>SUMIFS(SalesData[Total_Amount],SalesData[Customer_Name],A168)</f>
        <v>1229.8800000000001</v>
      </c>
    </row>
    <row r="169" spans="1:2" x14ac:dyDescent="0.45">
      <c r="A169" s="16" t="s">
        <v>185</v>
      </c>
      <c r="B169" s="18">
        <f>SUMIFS(SalesData[Total_Amount],SalesData[Customer_Name],A169)</f>
        <v>1809.84</v>
      </c>
    </row>
    <row r="170" spans="1:2" x14ac:dyDescent="0.45">
      <c r="A170" s="15" t="s">
        <v>150</v>
      </c>
      <c r="B170" s="18">
        <f>SUMIFS(SalesData[Total_Amount],SalesData[Customer_Name],A170)</f>
        <v>7309.7999999999993</v>
      </c>
    </row>
    <row r="171" spans="1:2" x14ac:dyDescent="0.45">
      <c r="A171" s="16" t="s">
        <v>45</v>
      </c>
      <c r="B171" s="18">
        <f>SUMIFS(SalesData[Total_Amount],SalesData[Customer_Name],A171)</f>
        <v>6169.7400000000007</v>
      </c>
    </row>
    <row r="172" spans="1:2" x14ac:dyDescent="0.45">
      <c r="A172" s="15" t="s">
        <v>115</v>
      </c>
      <c r="B172" s="18">
        <f>SUMIFS(SalesData[Total_Amount],SalesData[Customer_Name],A172)</f>
        <v>1289.9000000000001</v>
      </c>
    </row>
    <row r="173" spans="1:2" x14ac:dyDescent="0.45">
      <c r="A173" s="16" t="s">
        <v>185</v>
      </c>
      <c r="B173" s="18">
        <f>SUMIFS(SalesData[Total_Amount],SalesData[Customer_Name],A173)</f>
        <v>1809.84</v>
      </c>
    </row>
    <row r="174" spans="1:2" x14ac:dyDescent="0.45">
      <c r="A174" s="15" t="s">
        <v>32</v>
      </c>
      <c r="B174" s="18">
        <f>SUMIFS(SalesData[Total_Amount],SalesData[Customer_Name],A174)</f>
        <v>3259.87</v>
      </c>
    </row>
    <row r="175" spans="1:2" x14ac:dyDescent="0.45">
      <c r="A175" s="16" t="s">
        <v>45</v>
      </c>
      <c r="B175" s="18">
        <f>SUMIFS(SalesData[Total_Amount],SalesData[Customer_Name],A175)</f>
        <v>6169.7400000000007</v>
      </c>
    </row>
    <row r="176" spans="1:2" x14ac:dyDescent="0.45">
      <c r="A176" s="15" t="s">
        <v>123</v>
      </c>
      <c r="B176" s="18">
        <f>SUMIFS(SalesData[Total_Amount],SalesData[Customer_Name],A176)</f>
        <v>6459.79</v>
      </c>
    </row>
    <row r="177" spans="1:2" x14ac:dyDescent="0.45">
      <c r="A177" s="16" t="s">
        <v>62</v>
      </c>
      <c r="B177" s="18">
        <f>SUMIFS(SalesData[Total_Amount],SalesData[Customer_Name],A177)</f>
        <v>3509.8999999999996</v>
      </c>
    </row>
    <row r="178" spans="1:2" x14ac:dyDescent="0.45">
      <c r="A178" s="15" t="s">
        <v>111</v>
      </c>
      <c r="B178" s="18">
        <f>SUMIFS(SalesData[Total_Amount],SalesData[Customer_Name],A178)</f>
        <v>4189.7700000000004</v>
      </c>
    </row>
    <row r="179" spans="1:2" x14ac:dyDescent="0.45">
      <c r="A179" s="16" t="s">
        <v>89</v>
      </c>
      <c r="B179" s="18">
        <f>SUMIFS(SalesData[Total_Amount],SalesData[Customer_Name],A179)</f>
        <v>15659.65</v>
      </c>
    </row>
    <row r="180" spans="1:2" x14ac:dyDescent="0.45">
      <c r="A180" s="15" t="s">
        <v>150</v>
      </c>
      <c r="B180" s="18">
        <f>SUMIFS(SalesData[Total_Amount],SalesData[Customer_Name],A180)</f>
        <v>7309.7999999999993</v>
      </c>
    </row>
    <row r="181" spans="1:2" x14ac:dyDescent="0.45">
      <c r="A181" s="16" t="s">
        <v>328</v>
      </c>
      <c r="B181" s="18">
        <f>SUMIFS(SalesData[Total_Amount],SalesData[Customer_Name],A181)</f>
        <v>1559.94</v>
      </c>
    </row>
    <row r="182" spans="1:2" x14ac:dyDescent="0.45">
      <c r="A182" s="15" t="s">
        <v>132</v>
      </c>
      <c r="B182" s="18">
        <f>SUMIFS(SalesData[Total_Amount],SalesData[Customer_Name],A182)</f>
        <v>2039.8000000000002</v>
      </c>
    </row>
    <row r="183" spans="1:2" x14ac:dyDescent="0.45">
      <c r="A183" s="16" t="s">
        <v>45</v>
      </c>
      <c r="B183" s="18">
        <f>SUMIFS(SalesData[Total_Amount],SalesData[Customer_Name],A183)</f>
        <v>6169.7400000000007</v>
      </c>
    </row>
    <row r="184" spans="1:2" x14ac:dyDescent="0.45">
      <c r="A184" s="15" t="s">
        <v>68</v>
      </c>
      <c r="B184" s="18">
        <f>SUMIFS(SalesData[Total_Amount],SalesData[Customer_Name],A184)</f>
        <v>8009.7699999999995</v>
      </c>
    </row>
    <row r="185" spans="1:2" x14ac:dyDescent="0.45">
      <c r="A185" s="16" t="s">
        <v>111</v>
      </c>
      <c r="B185" s="18">
        <f>SUMIFS(SalesData[Total_Amount],SalesData[Customer_Name],A185)</f>
        <v>4189.7700000000004</v>
      </c>
    </row>
    <row r="186" spans="1:2" x14ac:dyDescent="0.45">
      <c r="A186" s="15" t="s">
        <v>96</v>
      </c>
      <c r="B186" s="18">
        <f>SUMIFS(SalesData[Total_Amount],SalesData[Customer_Name],A186)</f>
        <v>4789.7900000000009</v>
      </c>
    </row>
    <row r="187" spans="1:2" x14ac:dyDescent="0.45">
      <c r="A187" s="16" t="s">
        <v>141</v>
      </c>
      <c r="B187" s="18">
        <f>SUMIFS(SalesData[Total_Amount],SalesData[Customer_Name],A187)</f>
        <v>2649.83</v>
      </c>
    </row>
    <row r="188" spans="1:2" x14ac:dyDescent="0.45">
      <c r="A188" s="15" t="s">
        <v>81</v>
      </c>
      <c r="B188" s="18">
        <f>SUMIFS(SalesData[Total_Amount],SalesData[Customer_Name],A188)</f>
        <v>4199.9399999999996</v>
      </c>
    </row>
    <row r="189" spans="1:2" x14ac:dyDescent="0.45">
      <c r="A189" s="16" t="s">
        <v>296</v>
      </c>
      <c r="B189" s="18">
        <f>SUMIFS(SalesData[Total_Amount],SalesData[Customer_Name],A189)</f>
        <v>4829.8899999999994</v>
      </c>
    </row>
    <row r="190" spans="1:2" x14ac:dyDescent="0.45">
      <c r="A190" s="15" t="s">
        <v>89</v>
      </c>
      <c r="B190" s="18">
        <f>SUMIFS(SalesData[Total_Amount],SalesData[Customer_Name],A190)</f>
        <v>15659.65</v>
      </c>
    </row>
    <row r="191" spans="1:2" x14ac:dyDescent="0.45">
      <c r="A191" s="16" t="s">
        <v>161</v>
      </c>
      <c r="B191" s="18">
        <f>SUMIFS(SalesData[Total_Amount],SalesData[Customer_Name],A191)</f>
        <v>5649.84</v>
      </c>
    </row>
    <row r="192" spans="1:2" x14ac:dyDescent="0.45">
      <c r="A192" s="15" t="s">
        <v>123</v>
      </c>
      <c r="B192" s="18">
        <f>SUMIFS(SalesData[Total_Amount],SalesData[Customer_Name],A192)</f>
        <v>6459.79</v>
      </c>
    </row>
    <row r="193" spans="1:2" x14ac:dyDescent="0.45">
      <c r="A193" s="16" t="s">
        <v>237</v>
      </c>
      <c r="B193" s="18">
        <f>SUMIFS(SalesData[Total_Amount],SalesData[Customer_Name],A193)</f>
        <v>6349.83</v>
      </c>
    </row>
    <row r="194" spans="1:2" x14ac:dyDescent="0.45">
      <c r="A194" s="15" t="s">
        <v>229</v>
      </c>
      <c r="B194" s="18">
        <f>SUMIFS(SalesData[Total_Amount],SalesData[Customer_Name],A194)</f>
        <v>6989.7699999999986</v>
      </c>
    </row>
    <row r="195" spans="1:2" x14ac:dyDescent="0.45">
      <c r="A195" s="16" t="s">
        <v>214</v>
      </c>
      <c r="B195" s="18">
        <f>SUMIFS(SalesData[Total_Amount],SalesData[Customer_Name],A195)</f>
        <v>3649.8599999999997</v>
      </c>
    </row>
    <row r="196" spans="1:2" x14ac:dyDescent="0.45">
      <c r="A196" s="15" t="s">
        <v>62</v>
      </c>
      <c r="B196" s="18">
        <f>SUMIFS(SalesData[Total_Amount],SalesData[Customer_Name],A196)</f>
        <v>3509.8999999999996</v>
      </c>
    </row>
    <row r="197" spans="1:2" x14ac:dyDescent="0.45">
      <c r="A197" s="16" t="s">
        <v>132</v>
      </c>
      <c r="B197" s="18">
        <f>SUMIFS(SalesData[Total_Amount],SalesData[Customer_Name],A197)</f>
        <v>2039.8000000000002</v>
      </c>
    </row>
    <row r="198" spans="1:2" x14ac:dyDescent="0.45">
      <c r="A198" s="15" t="s">
        <v>71</v>
      </c>
      <c r="B198" s="18">
        <f>SUMIFS(SalesData[Total_Amount],SalesData[Customer_Name],A198)</f>
        <v>1979.89</v>
      </c>
    </row>
    <row r="199" spans="1:2" x14ac:dyDescent="0.45">
      <c r="A199" s="16" t="s">
        <v>51</v>
      </c>
      <c r="B199" s="18">
        <f>SUMIFS(SalesData[Total_Amount],SalesData[Customer_Name],A199)</f>
        <v>8269.7900000000009</v>
      </c>
    </row>
    <row r="200" spans="1:2" x14ac:dyDescent="0.45">
      <c r="A200" s="15" t="s">
        <v>255</v>
      </c>
      <c r="B200" s="18">
        <f>SUMIFS(SalesData[Total_Amount],SalesData[Customer_Name],A200)</f>
        <v>4749.91</v>
      </c>
    </row>
    <row r="201" spans="1:2" x14ac:dyDescent="0.45">
      <c r="A201" s="16" t="s">
        <v>89</v>
      </c>
      <c r="B201" s="18">
        <f>SUMIFS(SalesData[Total_Amount],SalesData[Customer_Name],A201)</f>
        <v>15659.65</v>
      </c>
    </row>
    <row r="202" spans="1:2" x14ac:dyDescent="0.45">
      <c r="A202" s="15" t="s">
        <v>296</v>
      </c>
      <c r="B202" s="18">
        <f>SUMIFS(SalesData[Total_Amount],SalesData[Customer_Name],A202)</f>
        <v>4829.8899999999994</v>
      </c>
    </row>
    <row r="203" spans="1:2" x14ac:dyDescent="0.45">
      <c r="A203" s="16" t="s">
        <v>68</v>
      </c>
      <c r="B203" s="18">
        <f>SUMIFS(SalesData[Total_Amount],SalesData[Customer_Name],A203)</f>
        <v>8009.7699999999995</v>
      </c>
    </row>
    <row r="204" spans="1:2" x14ac:dyDescent="0.45">
      <c r="A204" s="15" t="s">
        <v>126</v>
      </c>
      <c r="B204" s="18">
        <f>SUMIFS(SalesData[Total_Amount],SalesData[Customer_Name],A204)</f>
        <v>11919.769999999999</v>
      </c>
    </row>
    <row r="205" spans="1:2" x14ac:dyDescent="0.45">
      <c r="A205" s="16" t="s">
        <v>45</v>
      </c>
      <c r="B205" s="18">
        <f>SUMIFS(SalesData[Total_Amount],SalesData[Customer_Name],A205)</f>
        <v>6169.7400000000007</v>
      </c>
    </row>
    <row r="206" spans="1:2" x14ac:dyDescent="0.45">
      <c r="A206" s="15" t="s">
        <v>328</v>
      </c>
      <c r="B206" s="18">
        <f>SUMIFS(SalesData[Total_Amount],SalesData[Customer_Name],A206)</f>
        <v>1559.94</v>
      </c>
    </row>
    <row r="207" spans="1:2" x14ac:dyDescent="0.45">
      <c r="A207" s="16" t="s">
        <v>249</v>
      </c>
      <c r="B207" s="18">
        <f>SUMIFS(SalesData[Total_Amount],SalesData[Customer_Name],A207)</f>
        <v>1749.92</v>
      </c>
    </row>
    <row r="208" spans="1:2" x14ac:dyDescent="0.45">
      <c r="A208" s="15" t="s">
        <v>96</v>
      </c>
      <c r="B208" s="18">
        <f>SUMIFS(SalesData[Total_Amount],SalesData[Customer_Name],A208)</f>
        <v>4789.7900000000009</v>
      </c>
    </row>
    <row r="209" spans="1:2" x14ac:dyDescent="0.45">
      <c r="A209" s="16" t="s">
        <v>153</v>
      </c>
      <c r="B209" s="18">
        <f>SUMIFS(SalesData[Total_Amount],SalesData[Customer_Name],A209)</f>
        <v>5619.869999999999</v>
      </c>
    </row>
    <row r="210" spans="1:2" x14ac:dyDescent="0.45">
      <c r="A210" s="15" t="s">
        <v>111</v>
      </c>
      <c r="B210" s="18">
        <f>SUMIFS(SalesData[Total_Amount],SalesData[Customer_Name],A210)</f>
        <v>4189.7700000000004</v>
      </c>
    </row>
    <row r="211" spans="1:2" x14ac:dyDescent="0.45">
      <c r="A211" s="16" t="s">
        <v>32</v>
      </c>
      <c r="B211" s="18">
        <f>SUMIFS(SalesData[Total_Amount],SalesData[Customer_Name],A211)</f>
        <v>3259.87</v>
      </c>
    </row>
    <row r="212" spans="1:2" x14ac:dyDescent="0.45">
      <c r="A212" s="15" t="s">
        <v>18</v>
      </c>
      <c r="B212" s="18">
        <f>SUMIFS(SalesData[Total_Amount],SalesData[Customer_Name],A212)</f>
        <v>10559.769999999999</v>
      </c>
    </row>
    <row r="213" spans="1:2" x14ac:dyDescent="0.45">
      <c r="A213" s="16" t="s">
        <v>262</v>
      </c>
      <c r="B213" s="18">
        <f>SUMIFS(SalesData[Total_Amount],SalesData[Customer_Name],A213)</f>
        <v>739.93000000000006</v>
      </c>
    </row>
    <row r="214" spans="1:2" x14ac:dyDescent="0.45">
      <c r="A214" s="15" t="s">
        <v>126</v>
      </c>
      <c r="B214" s="18">
        <f>SUMIFS(SalesData[Total_Amount],SalesData[Customer_Name],A214)</f>
        <v>11919.769999999999</v>
      </c>
    </row>
    <row r="215" spans="1:2" x14ac:dyDescent="0.45">
      <c r="A215" s="16" t="s">
        <v>45</v>
      </c>
      <c r="B215" s="18">
        <f>SUMIFS(SalesData[Total_Amount],SalesData[Customer_Name],A215)</f>
        <v>6169.7400000000007</v>
      </c>
    </row>
    <row r="216" spans="1:2" x14ac:dyDescent="0.45">
      <c r="A216" s="15" t="s">
        <v>99</v>
      </c>
      <c r="B216" s="18">
        <f>SUMIFS(SalesData[Total_Amount],SalesData[Customer_Name],A216)</f>
        <v>10649.8</v>
      </c>
    </row>
    <row r="217" spans="1:2" x14ac:dyDescent="0.45">
      <c r="A217" s="16" t="s">
        <v>195</v>
      </c>
      <c r="B217" s="18">
        <f>SUMIFS(SalesData[Total_Amount],SalesData[Customer_Name],A217)</f>
        <v>1479.91</v>
      </c>
    </row>
    <row r="218" spans="1:2" x14ac:dyDescent="0.45">
      <c r="A218" s="15" t="s">
        <v>58</v>
      </c>
      <c r="B218" s="18">
        <f>SUMIFS(SalesData[Total_Amount],SalesData[Customer_Name],A218)</f>
        <v>5089.7300000000005</v>
      </c>
    </row>
    <row r="219" spans="1:2" x14ac:dyDescent="0.45">
      <c r="A219" s="16" t="s">
        <v>153</v>
      </c>
      <c r="B219" s="18">
        <f>SUMIFS(SalesData[Total_Amount],SalesData[Customer_Name],A219)</f>
        <v>5619.869999999999</v>
      </c>
    </row>
    <row r="220" spans="1:2" x14ac:dyDescent="0.45">
      <c r="A220" s="15" t="s">
        <v>249</v>
      </c>
      <c r="B220" s="18">
        <f>SUMIFS(SalesData[Total_Amount],SalesData[Customer_Name],A220)</f>
        <v>1749.92</v>
      </c>
    </row>
    <row r="221" spans="1:2" x14ac:dyDescent="0.45">
      <c r="A221" s="16" t="s">
        <v>328</v>
      </c>
      <c r="B221" s="18">
        <f>SUMIFS(SalesData[Total_Amount],SalesData[Customer_Name],A221)</f>
        <v>1559.94</v>
      </c>
    </row>
    <row r="222" spans="1:2" x14ac:dyDescent="0.45">
      <c r="A222" s="15" t="s">
        <v>214</v>
      </c>
      <c r="B222" s="18">
        <f>SUMIFS(SalesData[Total_Amount],SalesData[Customer_Name],A222)</f>
        <v>3649.8599999999997</v>
      </c>
    </row>
    <row r="223" spans="1:2" x14ac:dyDescent="0.45">
      <c r="A223" s="16" t="s">
        <v>141</v>
      </c>
      <c r="B223" s="18">
        <f>SUMIFS(SalesData[Total_Amount],SalesData[Customer_Name],A223)</f>
        <v>2649.83</v>
      </c>
    </row>
    <row r="224" spans="1:2" x14ac:dyDescent="0.45">
      <c r="A224" s="15" t="s">
        <v>262</v>
      </c>
      <c r="B224" s="18">
        <f>SUMIFS(SalesData[Total_Amount],SalesData[Customer_Name],A224)</f>
        <v>739.93000000000006</v>
      </c>
    </row>
    <row r="225" spans="1:2" x14ac:dyDescent="0.45">
      <c r="A225" s="16" t="s">
        <v>96</v>
      </c>
      <c r="B225" s="18">
        <f>SUMIFS(SalesData[Total_Amount],SalesData[Customer_Name],A225)</f>
        <v>4789.7900000000009</v>
      </c>
    </row>
    <row r="226" spans="1:2" x14ac:dyDescent="0.45">
      <c r="A226" s="15" t="s">
        <v>58</v>
      </c>
      <c r="B226" s="18">
        <f>SUMIFS(SalesData[Total_Amount],SalesData[Customer_Name],A226)</f>
        <v>5089.7300000000005</v>
      </c>
    </row>
    <row r="227" spans="1:2" x14ac:dyDescent="0.45">
      <c r="A227" s="16" t="s">
        <v>229</v>
      </c>
      <c r="B227" s="18">
        <f>SUMIFS(SalesData[Total_Amount],SalesData[Customer_Name],A227)</f>
        <v>6989.7699999999986</v>
      </c>
    </row>
    <row r="228" spans="1:2" x14ac:dyDescent="0.45">
      <c r="A228" s="15" t="s">
        <v>78</v>
      </c>
      <c r="B228" s="18">
        <f>SUMIFS(SalesData[Total_Amount],SalesData[Customer_Name],A228)</f>
        <v>479.91999999999996</v>
      </c>
    </row>
    <row r="229" spans="1:2" x14ac:dyDescent="0.45">
      <c r="A229" s="16" t="s">
        <v>18</v>
      </c>
      <c r="B229" s="18">
        <f>SUMIFS(SalesData[Total_Amount],SalesData[Customer_Name],A229)</f>
        <v>10559.769999999999</v>
      </c>
    </row>
    <row r="230" spans="1:2" x14ac:dyDescent="0.45">
      <c r="A230" s="15" t="s">
        <v>123</v>
      </c>
      <c r="B230" s="18">
        <f>SUMIFS(SalesData[Total_Amount],SalesData[Customer_Name],A230)</f>
        <v>6459.79</v>
      </c>
    </row>
    <row r="231" spans="1:2" x14ac:dyDescent="0.45">
      <c r="A231" s="16" t="s">
        <v>229</v>
      </c>
      <c r="B231" s="18">
        <f>SUMIFS(SalesData[Total_Amount],SalesData[Customer_Name],A231)</f>
        <v>6989.7699999999986</v>
      </c>
    </row>
    <row r="232" spans="1:2" x14ac:dyDescent="0.45">
      <c r="A232" s="15" t="s">
        <v>147</v>
      </c>
      <c r="B232" s="18">
        <f>SUMIFS(SalesData[Total_Amount],SalesData[Customer_Name],A232)</f>
        <v>5519.8899999999994</v>
      </c>
    </row>
    <row r="233" spans="1:2" x14ac:dyDescent="0.45">
      <c r="A233" s="16" t="s">
        <v>58</v>
      </c>
      <c r="B233" s="18">
        <f>SUMIFS(SalesData[Total_Amount],SalesData[Customer_Name],A233)</f>
        <v>5089.7300000000005</v>
      </c>
    </row>
    <row r="234" spans="1:2" x14ac:dyDescent="0.45">
      <c r="A234" s="15" t="s">
        <v>147</v>
      </c>
      <c r="B234" s="18">
        <f>SUMIFS(SalesData[Total_Amount],SalesData[Customer_Name],A234)</f>
        <v>5519.8899999999994</v>
      </c>
    </row>
    <row r="235" spans="1:2" x14ac:dyDescent="0.45">
      <c r="A235" s="16" t="s">
        <v>195</v>
      </c>
      <c r="B235" s="18">
        <f>SUMIFS(SalesData[Total_Amount],SalesData[Customer_Name],A235)</f>
        <v>1479.91</v>
      </c>
    </row>
    <row r="236" spans="1:2" x14ac:dyDescent="0.45">
      <c r="A236" s="15" t="s">
        <v>135</v>
      </c>
      <c r="B236" s="18">
        <f>SUMIFS(SalesData[Total_Amount],SalesData[Customer_Name],A236)</f>
        <v>1229.8800000000001</v>
      </c>
    </row>
    <row r="237" spans="1:2" x14ac:dyDescent="0.45">
      <c r="A237" s="16" t="s">
        <v>153</v>
      </c>
      <c r="B237" s="18">
        <f>SUMIFS(SalesData[Total_Amount],SalesData[Customer_Name],A237)</f>
        <v>5619.869999999999</v>
      </c>
    </row>
    <row r="238" spans="1:2" x14ac:dyDescent="0.45">
      <c r="A238" s="15" t="s">
        <v>51</v>
      </c>
      <c r="B238" s="18">
        <f>SUMIFS(SalesData[Total_Amount],SalesData[Customer_Name],A238)</f>
        <v>8269.7900000000009</v>
      </c>
    </row>
    <row r="239" spans="1:2" x14ac:dyDescent="0.45">
      <c r="A239" s="16" t="s">
        <v>18</v>
      </c>
      <c r="B239" s="18">
        <f>SUMIFS(SalesData[Total_Amount],SalesData[Customer_Name],A239)</f>
        <v>10559.769999999999</v>
      </c>
    </row>
    <row r="240" spans="1:2" x14ac:dyDescent="0.45">
      <c r="A240" s="15" t="s">
        <v>389</v>
      </c>
      <c r="B240" s="18">
        <f>SUMIFS(SalesData[Total_Amount],SalesData[Customer_Name],A240)</f>
        <v>599.96</v>
      </c>
    </row>
    <row r="241" spans="1:2" x14ac:dyDescent="0.45">
      <c r="A241" s="16" t="s">
        <v>105</v>
      </c>
      <c r="B241" s="18">
        <f>SUMIFS(SalesData[Total_Amount],SalesData[Customer_Name],A241)</f>
        <v>3769.8300000000004</v>
      </c>
    </row>
    <row r="242" spans="1:2" x14ac:dyDescent="0.45">
      <c r="A242" s="15" t="s">
        <v>188</v>
      </c>
      <c r="B242" s="18">
        <f>SUMIFS(SalesData[Total_Amount],SalesData[Customer_Name],A242)</f>
        <v>2099.88</v>
      </c>
    </row>
    <row r="243" spans="1:2" x14ac:dyDescent="0.45">
      <c r="A243" s="16" t="s">
        <v>96</v>
      </c>
      <c r="B243" s="18">
        <f>SUMIFS(SalesData[Total_Amount],SalesData[Customer_Name],A243)</f>
        <v>4789.7900000000009</v>
      </c>
    </row>
    <row r="244" spans="1:2" x14ac:dyDescent="0.45">
      <c r="A244" s="15" t="s">
        <v>68</v>
      </c>
      <c r="B244" s="18">
        <f>SUMIFS(SalesData[Total_Amount],SalesData[Customer_Name],A244)</f>
        <v>8009.7699999999995</v>
      </c>
    </row>
    <row r="245" spans="1:2" x14ac:dyDescent="0.45">
      <c r="A245" s="16" t="s">
        <v>105</v>
      </c>
      <c r="B245" s="18">
        <f>SUMIFS(SalesData[Total_Amount],SalesData[Customer_Name],A245)</f>
        <v>3769.8300000000004</v>
      </c>
    </row>
    <row r="246" spans="1:2" x14ac:dyDescent="0.45">
      <c r="A246" s="15" t="s">
        <v>126</v>
      </c>
      <c r="B246" s="18">
        <f>SUMIFS(SalesData[Total_Amount],SalesData[Customer_Name],A246)</f>
        <v>11919.769999999999</v>
      </c>
    </row>
    <row r="247" spans="1:2" x14ac:dyDescent="0.45">
      <c r="A247" s="16" t="s">
        <v>96</v>
      </c>
      <c r="B247" s="18">
        <f>SUMIFS(SalesData[Total_Amount],SalesData[Customer_Name],A247)</f>
        <v>4789.7900000000009</v>
      </c>
    </row>
    <row r="248" spans="1:2" x14ac:dyDescent="0.45">
      <c r="A248" s="15" t="s">
        <v>62</v>
      </c>
      <c r="B248" s="18">
        <f>SUMIFS(SalesData[Total_Amount],SalesData[Customer_Name],A248)</f>
        <v>3509.8999999999996</v>
      </c>
    </row>
    <row r="249" spans="1:2" x14ac:dyDescent="0.45">
      <c r="A249" s="16" t="s">
        <v>296</v>
      </c>
      <c r="B249" s="18">
        <f>SUMIFS(SalesData[Total_Amount],SalesData[Customer_Name],A249)</f>
        <v>4829.8899999999994</v>
      </c>
    </row>
    <row r="250" spans="1:2" x14ac:dyDescent="0.45">
      <c r="A250" s="15" t="s">
        <v>229</v>
      </c>
      <c r="B250" s="18">
        <f>SUMIFS(SalesData[Total_Amount],SalesData[Customer_Name],A250)</f>
        <v>6989.7699999999986</v>
      </c>
    </row>
    <row r="251" spans="1:2" x14ac:dyDescent="0.45">
      <c r="A251" s="16" t="s">
        <v>141</v>
      </c>
      <c r="B251" s="18">
        <f>SUMIFS(SalesData[Total_Amount],SalesData[Customer_Name],A251)</f>
        <v>2649.83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F49D-E0D4-4300-B314-624E82619F0F}">
  <dimension ref="A1:N18"/>
  <sheetViews>
    <sheetView zoomScale="80" zoomScaleNormal="80" workbookViewId="0">
      <selection activeCell="N21" sqref="N21"/>
    </sheetView>
  </sheetViews>
  <sheetFormatPr defaultRowHeight="14.25" x14ac:dyDescent="0.45"/>
  <cols>
    <col min="1" max="1" width="13.73046875" bestFit="1" customWidth="1"/>
    <col min="2" max="2" width="20.6640625" bestFit="1" customWidth="1"/>
  </cols>
  <sheetData>
    <row r="1" spans="1:2" x14ac:dyDescent="0.45">
      <c r="A1" s="21" t="s">
        <v>12</v>
      </c>
      <c r="B1" t="s">
        <v>411</v>
      </c>
    </row>
    <row r="3" spans="1:2" x14ac:dyDescent="0.45">
      <c r="A3" s="21" t="s">
        <v>408</v>
      </c>
      <c r="B3" t="s">
        <v>410</v>
      </c>
    </row>
    <row r="4" spans="1:2" x14ac:dyDescent="0.45">
      <c r="A4" s="22" t="s">
        <v>55</v>
      </c>
      <c r="B4" s="42">
        <v>7049.5299999999988</v>
      </c>
    </row>
    <row r="5" spans="1:2" x14ac:dyDescent="0.45">
      <c r="A5" s="22" t="s">
        <v>120</v>
      </c>
      <c r="B5" s="42">
        <v>8009.109999999996</v>
      </c>
    </row>
    <row r="6" spans="1:2" x14ac:dyDescent="0.45">
      <c r="A6" s="22" t="s">
        <v>64</v>
      </c>
      <c r="B6" s="42">
        <v>67499.249999999985</v>
      </c>
    </row>
    <row r="7" spans="1:2" x14ac:dyDescent="0.45">
      <c r="A7" s="22" t="s">
        <v>20</v>
      </c>
      <c r="B7" s="42">
        <v>24249.150000000005</v>
      </c>
    </row>
    <row r="8" spans="1:2" x14ac:dyDescent="0.45">
      <c r="A8" s="22" t="s">
        <v>83</v>
      </c>
      <c r="B8" s="42">
        <v>67199.040000000023</v>
      </c>
    </row>
    <row r="9" spans="1:2" x14ac:dyDescent="0.45">
      <c r="A9" s="22" t="s">
        <v>409</v>
      </c>
      <c r="B9" s="42">
        <v>174006.08000000002</v>
      </c>
    </row>
    <row r="18" spans="14:14" x14ac:dyDescent="0.45">
      <c r="N18">
        <f>COUNTA(_xlfn.UNIQUE(SalesData[Customer_ID]))</f>
        <v>50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D82ED-973F-433F-AFE8-890783B5EE4A}">
  <dimension ref="A1:AB30"/>
  <sheetViews>
    <sheetView tabSelected="1" zoomScale="80" zoomScaleNormal="80" workbookViewId="0">
      <selection activeCell="G35" sqref="G35"/>
    </sheetView>
  </sheetViews>
  <sheetFormatPr defaultRowHeight="14.25" x14ac:dyDescent="0.45"/>
  <cols>
    <col min="1" max="1" width="13.19921875" customWidth="1"/>
  </cols>
  <sheetData>
    <row r="1" spans="1:28" ht="14.55" customHeight="1" x14ac:dyDescent="0.45">
      <c r="A1" s="46" t="s">
        <v>414</v>
      </c>
      <c r="B1" s="47"/>
      <c r="C1" s="47"/>
      <c r="D1" s="47"/>
      <c r="E1" s="47"/>
      <c r="F1" s="47"/>
      <c r="G1" s="47"/>
      <c r="H1" s="47"/>
      <c r="I1" s="47"/>
      <c r="J1" s="47"/>
      <c r="K1" s="47"/>
      <c r="L1" s="47"/>
      <c r="M1" s="47"/>
      <c r="N1" s="47"/>
      <c r="O1" s="47"/>
      <c r="P1" s="47"/>
      <c r="Q1" s="47"/>
      <c r="R1" s="47"/>
      <c r="S1" s="47"/>
      <c r="T1" s="47"/>
      <c r="U1" s="47"/>
      <c r="V1" s="47"/>
      <c r="W1" s="47"/>
      <c r="X1" s="36"/>
      <c r="Y1" s="32"/>
      <c r="Z1" s="32"/>
      <c r="AA1" s="32"/>
      <c r="AB1" s="33"/>
    </row>
    <row r="2" spans="1:28" x14ac:dyDescent="0.45">
      <c r="A2" s="47"/>
      <c r="B2" s="47"/>
      <c r="C2" s="47"/>
      <c r="D2" s="47"/>
      <c r="E2" s="47"/>
      <c r="F2" s="47"/>
      <c r="G2" s="47"/>
      <c r="H2" s="47"/>
      <c r="I2" s="47"/>
      <c r="J2" s="47"/>
      <c r="K2" s="47"/>
      <c r="L2" s="47"/>
      <c r="M2" s="47"/>
      <c r="N2" s="47"/>
      <c r="O2" s="47"/>
      <c r="P2" s="47"/>
      <c r="Q2" s="47"/>
      <c r="R2" s="47"/>
      <c r="S2" s="47"/>
      <c r="T2" s="47"/>
      <c r="U2" s="47"/>
      <c r="V2" s="47"/>
      <c r="W2" s="47"/>
      <c r="X2" s="36"/>
      <c r="Y2" s="34"/>
      <c r="Z2" s="34"/>
      <c r="AA2" s="34"/>
      <c r="AB2" s="35"/>
    </row>
    <row r="3" spans="1:28" ht="14.65" thickBot="1" x14ac:dyDescent="0.5">
      <c r="A3" s="37"/>
      <c r="B3" s="37"/>
      <c r="C3" s="37"/>
      <c r="D3" s="37"/>
      <c r="E3" s="37"/>
      <c r="F3" s="37"/>
      <c r="G3" s="37"/>
      <c r="H3" s="37"/>
      <c r="I3" s="37"/>
      <c r="J3" s="37"/>
      <c r="K3" s="37"/>
      <c r="L3" s="37"/>
      <c r="M3" s="37"/>
      <c r="N3" s="37"/>
      <c r="O3" s="37"/>
      <c r="P3" s="37"/>
      <c r="Q3" s="37"/>
      <c r="R3" s="37"/>
      <c r="S3" s="37"/>
      <c r="T3" s="37"/>
      <c r="U3" s="37"/>
      <c r="V3" s="37"/>
      <c r="W3" s="37"/>
      <c r="X3" s="37"/>
      <c r="Y3" s="30"/>
      <c r="Z3" s="29"/>
      <c r="AA3" s="29"/>
      <c r="AB3" s="29"/>
    </row>
    <row r="4" spans="1:28" ht="19.899999999999999" thickBot="1" x14ac:dyDescent="0.5">
      <c r="A4" s="43" t="s">
        <v>415</v>
      </c>
      <c r="B4" s="44"/>
      <c r="C4" s="44"/>
      <c r="D4" s="44"/>
      <c r="E4" s="45"/>
      <c r="F4" s="37"/>
      <c r="G4" s="37"/>
      <c r="H4" s="37"/>
      <c r="I4" s="37"/>
      <c r="J4" s="37"/>
      <c r="K4" s="37"/>
      <c r="L4" s="37"/>
      <c r="M4" s="37"/>
      <c r="N4" s="37"/>
      <c r="O4" s="37"/>
      <c r="P4" s="37"/>
      <c r="Q4" s="37"/>
      <c r="R4" s="37"/>
      <c r="S4" s="37"/>
      <c r="T4" s="37"/>
      <c r="U4" s="37"/>
      <c r="V4" s="37"/>
      <c r="W4" s="37"/>
      <c r="X4" s="37"/>
      <c r="Y4" s="30"/>
      <c r="Z4" s="29"/>
      <c r="AA4" s="29"/>
      <c r="AB4" s="29"/>
    </row>
    <row r="5" spans="1:28" x14ac:dyDescent="0.45">
      <c r="A5" s="38" t="s">
        <v>416</v>
      </c>
      <c r="B5" s="39"/>
      <c r="C5" s="39"/>
      <c r="D5" s="40">
        <f>GETPIVOTDATA("Total_Amount",'Pivort_Table-Charts'!$A$3)</f>
        <v>174006.08000000002</v>
      </c>
      <c r="E5" s="40"/>
      <c r="F5" s="37"/>
      <c r="G5" s="37"/>
      <c r="H5" s="37"/>
      <c r="I5" s="37"/>
      <c r="J5" s="37"/>
      <c r="K5" s="37"/>
      <c r="L5" s="37"/>
      <c r="M5" s="37"/>
      <c r="N5" s="37"/>
      <c r="O5" s="37"/>
      <c r="P5" s="37"/>
      <c r="Q5" s="37"/>
      <c r="R5" s="37"/>
      <c r="S5" s="37"/>
      <c r="T5" s="37"/>
      <c r="U5" s="37"/>
      <c r="V5" s="37"/>
      <c r="W5" s="37"/>
      <c r="X5" s="37"/>
      <c r="Y5" s="30"/>
      <c r="Z5" s="29"/>
      <c r="AA5" s="29"/>
      <c r="AB5" s="29"/>
    </row>
    <row r="6" spans="1:28" x14ac:dyDescent="0.45">
      <c r="A6" s="38" t="s">
        <v>417</v>
      </c>
      <c r="B6" s="39"/>
      <c r="C6" s="39"/>
      <c r="D6" s="41">
        <f>'Pivort_Table-Charts'!N18</f>
        <v>50</v>
      </c>
      <c r="E6" s="41"/>
      <c r="F6" s="37"/>
      <c r="G6" s="37"/>
      <c r="H6" s="37"/>
      <c r="I6" s="37"/>
      <c r="J6" s="37"/>
      <c r="K6" s="37"/>
      <c r="L6" s="37"/>
      <c r="M6" s="37"/>
      <c r="N6" s="37"/>
      <c r="O6" s="37"/>
      <c r="P6" s="37"/>
      <c r="Q6" s="37"/>
      <c r="R6" s="37"/>
      <c r="S6" s="37"/>
      <c r="T6" s="37"/>
      <c r="U6" s="37"/>
      <c r="V6" s="37"/>
      <c r="W6" s="37"/>
      <c r="X6" s="37"/>
      <c r="Y6" s="30"/>
      <c r="Z6" s="29"/>
      <c r="AA6" s="29"/>
      <c r="AB6" s="29"/>
    </row>
    <row r="7" spans="1:28" x14ac:dyDescent="0.45">
      <c r="A7" s="38" t="s">
        <v>418</v>
      </c>
      <c r="B7" s="39"/>
      <c r="C7" s="39"/>
      <c r="D7" s="40">
        <f>MAX(SalesData[Total_Amount])</f>
        <v>4499.95</v>
      </c>
      <c r="E7" s="40"/>
      <c r="F7" s="37"/>
      <c r="G7" s="37"/>
      <c r="H7" s="37"/>
      <c r="I7" s="37"/>
      <c r="J7" s="37"/>
      <c r="K7" s="37"/>
      <c r="L7" s="37"/>
      <c r="M7" s="37"/>
      <c r="N7" s="37"/>
      <c r="O7" s="37"/>
      <c r="P7" s="37"/>
      <c r="Q7" s="37"/>
      <c r="R7" s="37"/>
      <c r="S7" s="37"/>
      <c r="T7" s="37"/>
      <c r="U7" s="37"/>
      <c r="V7" s="37"/>
      <c r="W7" s="37"/>
      <c r="X7" s="37"/>
      <c r="Y7" s="30"/>
      <c r="Z7" s="29"/>
      <c r="AA7" s="29"/>
      <c r="AB7" s="29"/>
    </row>
    <row r="8" spans="1:28" x14ac:dyDescent="0.45">
      <c r="A8" s="37"/>
      <c r="B8" s="37"/>
      <c r="C8" s="37"/>
      <c r="D8" s="37"/>
      <c r="E8" s="37"/>
      <c r="F8" s="37"/>
      <c r="G8" s="37"/>
      <c r="H8" s="37"/>
      <c r="I8" s="37"/>
      <c r="J8" s="37"/>
      <c r="K8" s="37"/>
      <c r="L8" s="37"/>
      <c r="M8" s="37"/>
      <c r="N8" s="37"/>
      <c r="O8" s="37"/>
      <c r="P8" s="37"/>
      <c r="Q8" s="37"/>
      <c r="R8" s="37"/>
      <c r="S8" s="37"/>
      <c r="T8" s="37"/>
      <c r="U8" s="37"/>
      <c r="V8" s="37"/>
      <c r="W8" s="37"/>
      <c r="X8" s="37"/>
      <c r="Y8" s="30"/>
      <c r="Z8" s="29"/>
      <c r="AA8" s="29"/>
      <c r="AB8" s="29"/>
    </row>
    <row r="9" spans="1:28" x14ac:dyDescent="0.45">
      <c r="A9" s="37"/>
      <c r="B9" s="37"/>
      <c r="C9" s="37"/>
      <c r="D9" s="37"/>
      <c r="E9" s="37"/>
      <c r="F9" s="37"/>
      <c r="G9" s="37"/>
      <c r="H9" s="37"/>
      <c r="I9" s="37"/>
      <c r="J9" s="37"/>
      <c r="K9" s="37"/>
      <c r="L9" s="37"/>
      <c r="M9" s="37"/>
      <c r="N9" s="37"/>
      <c r="O9" s="37"/>
      <c r="P9" s="37"/>
      <c r="Q9" s="37"/>
      <c r="R9" s="37"/>
      <c r="S9" s="37"/>
      <c r="T9" s="37"/>
      <c r="U9" s="37"/>
      <c r="V9" s="37"/>
      <c r="W9" s="37"/>
      <c r="X9" s="37"/>
      <c r="Y9" s="30"/>
      <c r="Z9" s="29"/>
      <c r="AA9" s="29"/>
      <c r="AB9" s="29"/>
    </row>
    <row r="10" spans="1:28" x14ac:dyDescent="0.45">
      <c r="A10" s="37"/>
      <c r="B10" s="37"/>
      <c r="C10" s="37"/>
      <c r="D10" s="37"/>
      <c r="E10" s="37"/>
      <c r="F10" s="37"/>
      <c r="G10" s="37"/>
      <c r="H10" s="37"/>
      <c r="I10" s="37"/>
      <c r="J10" s="37"/>
      <c r="K10" s="37"/>
      <c r="L10" s="37"/>
      <c r="M10" s="37"/>
      <c r="N10" s="37"/>
      <c r="O10" s="37"/>
      <c r="P10" s="37"/>
      <c r="Q10" s="37"/>
      <c r="R10" s="37"/>
      <c r="S10" s="37"/>
      <c r="T10" s="37"/>
      <c r="U10" s="37"/>
      <c r="V10" s="37"/>
      <c r="W10" s="37"/>
      <c r="X10" s="37"/>
      <c r="Y10" s="30"/>
      <c r="Z10" s="29"/>
      <c r="AA10" s="29"/>
      <c r="AB10" s="29"/>
    </row>
    <row r="11" spans="1:28" x14ac:dyDescent="0.45">
      <c r="A11" s="37"/>
      <c r="B11" s="37"/>
      <c r="C11" s="37"/>
      <c r="D11" s="37"/>
      <c r="E11" s="37"/>
      <c r="F11" s="37"/>
      <c r="G11" s="37"/>
      <c r="H11" s="37"/>
      <c r="I11" s="37"/>
      <c r="J11" s="37"/>
      <c r="K11" s="37"/>
      <c r="L11" s="37"/>
      <c r="M11" s="37"/>
      <c r="N11" s="37"/>
      <c r="O11" s="37"/>
      <c r="P11" s="37"/>
      <c r="Q11" s="37"/>
      <c r="R11" s="37"/>
      <c r="S11" s="37"/>
      <c r="T11" s="37"/>
      <c r="U11" s="37"/>
      <c r="V11" s="37"/>
      <c r="W11" s="37"/>
      <c r="X11" s="37"/>
      <c r="Y11" s="30"/>
      <c r="Z11" s="29"/>
      <c r="AA11" s="29"/>
      <c r="AB11" s="29"/>
    </row>
    <row r="12" spans="1:28" x14ac:dyDescent="0.45">
      <c r="A12" s="37"/>
      <c r="B12" s="37"/>
      <c r="C12" s="37"/>
      <c r="D12" s="37"/>
      <c r="E12" s="37"/>
      <c r="F12" s="37"/>
      <c r="G12" s="37"/>
      <c r="H12" s="37"/>
      <c r="I12" s="37"/>
      <c r="J12" s="37"/>
      <c r="K12" s="37"/>
      <c r="L12" s="37"/>
      <c r="M12" s="37"/>
      <c r="N12" s="37"/>
      <c r="O12" s="37"/>
      <c r="P12" s="37"/>
      <c r="Q12" s="37"/>
      <c r="R12" s="37"/>
      <c r="S12" s="37"/>
      <c r="T12" s="37"/>
      <c r="U12" s="37"/>
      <c r="V12" s="37"/>
      <c r="W12" s="37"/>
      <c r="X12" s="37"/>
      <c r="Y12" s="30"/>
      <c r="Z12" s="29"/>
      <c r="AA12" s="29"/>
      <c r="AB12" s="29"/>
    </row>
    <row r="13" spans="1:28" x14ac:dyDescent="0.45">
      <c r="A13" s="37"/>
      <c r="B13" s="37"/>
      <c r="C13" s="37"/>
      <c r="D13" s="37"/>
      <c r="E13" s="37"/>
      <c r="F13" s="37"/>
      <c r="G13" s="37"/>
      <c r="H13" s="37"/>
      <c r="I13" s="37"/>
      <c r="J13" s="37"/>
      <c r="K13" s="37"/>
      <c r="L13" s="37"/>
      <c r="M13" s="37"/>
      <c r="N13" s="37"/>
      <c r="O13" s="37"/>
      <c r="P13" s="37"/>
      <c r="Q13" s="37"/>
      <c r="R13" s="37"/>
      <c r="S13" s="37"/>
      <c r="T13" s="37"/>
      <c r="U13" s="37"/>
      <c r="V13" s="37"/>
      <c r="W13" s="37"/>
      <c r="X13" s="37"/>
      <c r="Y13" s="30"/>
      <c r="Z13" s="29"/>
      <c r="AA13" s="29"/>
      <c r="AB13" s="29"/>
    </row>
    <row r="14" spans="1:28" x14ac:dyDescent="0.45">
      <c r="A14" s="37"/>
      <c r="B14" s="37"/>
      <c r="C14" s="37"/>
      <c r="D14" s="37"/>
      <c r="E14" s="37"/>
      <c r="F14" s="37"/>
      <c r="G14" s="37"/>
      <c r="H14" s="37"/>
      <c r="I14" s="37"/>
      <c r="J14" s="37"/>
      <c r="K14" s="37"/>
      <c r="L14" s="37"/>
      <c r="M14" s="37"/>
      <c r="N14" s="37"/>
      <c r="O14" s="37"/>
      <c r="P14" s="37"/>
      <c r="Q14" s="37"/>
      <c r="R14" s="37"/>
      <c r="S14" s="37"/>
      <c r="T14" s="37"/>
      <c r="U14" s="37"/>
      <c r="V14" s="37"/>
      <c r="W14" s="37"/>
      <c r="X14" s="37"/>
      <c r="Y14" s="30"/>
      <c r="Z14" s="29"/>
      <c r="AA14" s="29"/>
      <c r="AB14" s="29"/>
    </row>
    <row r="15" spans="1:28" x14ac:dyDescent="0.45">
      <c r="A15" s="37"/>
      <c r="B15" s="37"/>
      <c r="C15" s="37"/>
      <c r="D15" s="37"/>
      <c r="E15" s="37"/>
      <c r="F15" s="37"/>
      <c r="G15" s="37"/>
      <c r="H15" s="37"/>
      <c r="I15" s="37"/>
      <c r="J15" s="37"/>
      <c r="K15" s="37"/>
      <c r="L15" s="37"/>
      <c r="M15" s="37"/>
      <c r="N15" s="37"/>
      <c r="O15" s="37"/>
      <c r="P15" s="37"/>
      <c r="Q15" s="37"/>
      <c r="R15" s="37"/>
      <c r="S15" s="37"/>
      <c r="T15" s="37"/>
      <c r="U15" s="37"/>
      <c r="V15" s="37"/>
      <c r="W15" s="37"/>
      <c r="X15" s="37"/>
      <c r="Y15" s="30"/>
      <c r="Z15" s="29"/>
      <c r="AA15" s="29"/>
      <c r="AB15" s="29"/>
    </row>
    <row r="16" spans="1:28" x14ac:dyDescent="0.45">
      <c r="A16" s="37"/>
      <c r="B16" s="37"/>
      <c r="C16" s="37"/>
      <c r="D16" s="37"/>
      <c r="E16" s="37"/>
      <c r="F16" s="37"/>
      <c r="G16" s="37"/>
      <c r="H16" s="37"/>
      <c r="I16" s="37"/>
      <c r="J16" s="37"/>
      <c r="K16" s="37"/>
      <c r="L16" s="37"/>
      <c r="M16" s="37"/>
      <c r="N16" s="37"/>
      <c r="O16" s="37"/>
      <c r="P16" s="37"/>
      <c r="Q16" s="37"/>
      <c r="R16" s="37"/>
      <c r="S16" s="37"/>
      <c r="T16" s="37"/>
      <c r="U16" s="37"/>
      <c r="V16" s="37"/>
      <c r="W16" s="37"/>
      <c r="X16" s="37"/>
      <c r="Y16" s="30"/>
      <c r="Z16" s="29"/>
      <c r="AA16" s="29"/>
      <c r="AB16" s="29"/>
    </row>
    <row r="17" spans="1:28" x14ac:dyDescent="0.45">
      <c r="A17" s="37"/>
      <c r="B17" s="37"/>
      <c r="C17" s="37"/>
      <c r="D17" s="37"/>
      <c r="E17" s="37"/>
      <c r="F17" s="37"/>
      <c r="G17" s="37"/>
      <c r="H17" s="37"/>
      <c r="I17" s="37"/>
      <c r="J17" s="37"/>
      <c r="K17" s="37"/>
      <c r="L17" s="37"/>
      <c r="M17" s="37"/>
      <c r="N17" s="37"/>
      <c r="O17" s="37"/>
      <c r="P17" s="37"/>
      <c r="Q17" s="37"/>
      <c r="R17" s="37"/>
      <c r="S17" s="37"/>
      <c r="T17" s="37"/>
      <c r="U17" s="37"/>
      <c r="V17" s="37"/>
      <c r="W17" s="37"/>
      <c r="X17" s="37"/>
      <c r="Y17" s="30"/>
      <c r="Z17" s="29"/>
      <c r="AA17" s="29"/>
      <c r="AB17" s="29"/>
    </row>
    <row r="18" spans="1:28" x14ac:dyDescent="0.45">
      <c r="A18" s="37"/>
      <c r="B18" s="37"/>
      <c r="C18" s="37"/>
      <c r="D18" s="37"/>
      <c r="E18" s="37"/>
      <c r="F18" s="37"/>
      <c r="G18" s="37"/>
      <c r="H18" s="37"/>
      <c r="I18" s="37"/>
      <c r="J18" s="37"/>
      <c r="K18" s="37"/>
      <c r="L18" s="37"/>
      <c r="M18" s="37"/>
      <c r="N18" s="37"/>
      <c r="O18" s="37"/>
      <c r="P18" s="37"/>
      <c r="Q18" s="37"/>
      <c r="R18" s="37"/>
      <c r="S18" s="37"/>
      <c r="T18" s="37"/>
      <c r="U18" s="37"/>
      <c r="V18" s="37"/>
      <c r="W18" s="37"/>
      <c r="X18" s="37"/>
      <c r="Y18" s="30"/>
      <c r="Z18" s="29"/>
      <c r="AA18" s="29"/>
      <c r="AB18" s="29"/>
    </row>
    <row r="19" spans="1:28" x14ac:dyDescent="0.45">
      <c r="A19" s="37"/>
      <c r="B19" s="37"/>
      <c r="C19" s="37"/>
      <c r="D19" s="37"/>
      <c r="E19" s="37"/>
      <c r="F19" s="37"/>
      <c r="G19" s="37"/>
      <c r="H19" s="37"/>
      <c r="I19" s="37"/>
      <c r="J19" s="37"/>
      <c r="K19" s="37"/>
      <c r="L19" s="37"/>
      <c r="M19" s="37"/>
      <c r="N19" s="37"/>
      <c r="O19" s="37"/>
      <c r="P19" s="37"/>
      <c r="Q19" s="37"/>
      <c r="R19" s="37"/>
      <c r="S19" s="37"/>
      <c r="T19" s="37"/>
      <c r="U19" s="37"/>
      <c r="V19" s="37"/>
      <c r="W19" s="37"/>
      <c r="X19" s="37"/>
      <c r="Y19" s="30"/>
      <c r="Z19" s="29"/>
      <c r="AA19" s="29"/>
      <c r="AB19" s="29"/>
    </row>
    <row r="20" spans="1:28" x14ac:dyDescent="0.45">
      <c r="A20" s="37"/>
      <c r="B20" s="37"/>
      <c r="C20" s="37"/>
      <c r="D20" s="37"/>
      <c r="E20" s="37"/>
      <c r="F20" s="37"/>
      <c r="G20" s="37"/>
      <c r="H20" s="37"/>
      <c r="I20" s="37"/>
      <c r="J20" s="37"/>
      <c r="K20" s="37"/>
      <c r="L20" s="37"/>
      <c r="M20" s="37"/>
      <c r="N20" s="37"/>
      <c r="O20" s="37"/>
      <c r="P20" s="37"/>
      <c r="Q20" s="37"/>
      <c r="R20" s="37"/>
      <c r="S20" s="37"/>
      <c r="T20" s="37"/>
      <c r="U20" s="37"/>
      <c r="V20" s="37"/>
      <c r="W20" s="37"/>
      <c r="X20" s="37"/>
      <c r="Y20" s="30"/>
      <c r="Z20" s="29"/>
      <c r="AA20" s="29"/>
      <c r="AB20" s="29"/>
    </row>
    <row r="21" spans="1:28" x14ac:dyDescent="0.45">
      <c r="A21" s="37"/>
      <c r="B21" s="37"/>
      <c r="C21" s="37"/>
      <c r="D21" s="37"/>
      <c r="E21" s="37"/>
      <c r="F21" s="37"/>
      <c r="G21" s="37"/>
      <c r="H21" s="37"/>
      <c r="I21" s="37"/>
      <c r="J21" s="37"/>
      <c r="K21" s="37"/>
      <c r="L21" s="37"/>
      <c r="M21" s="37"/>
      <c r="N21" s="37"/>
      <c r="O21" s="37"/>
      <c r="P21" s="37"/>
      <c r="Q21" s="37"/>
      <c r="R21" s="37"/>
      <c r="S21" s="37"/>
      <c r="T21" s="37"/>
      <c r="U21" s="37"/>
      <c r="V21" s="37"/>
      <c r="W21" s="37"/>
      <c r="X21" s="37"/>
      <c r="Y21" s="30"/>
      <c r="Z21" s="29"/>
      <c r="AA21" s="29"/>
      <c r="AB21" s="29"/>
    </row>
    <row r="22" spans="1:28" x14ac:dyDescent="0.45">
      <c r="A22" s="37"/>
      <c r="B22" s="37"/>
      <c r="C22" s="37"/>
      <c r="D22" s="37"/>
      <c r="E22" s="37"/>
      <c r="F22" s="37"/>
      <c r="G22" s="37"/>
      <c r="H22" s="37"/>
      <c r="I22" s="37"/>
      <c r="J22" s="37"/>
      <c r="K22" s="37"/>
      <c r="L22" s="37"/>
      <c r="M22" s="37"/>
      <c r="N22" s="37"/>
      <c r="O22" s="37"/>
      <c r="P22" s="37"/>
      <c r="Q22" s="37"/>
      <c r="R22" s="37"/>
      <c r="S22" s="37"/>
      <c r="T22" s="37"/>
      <c r="U22" s="37"/>
      <c r="V22" s="37"/>
      <c r="W22" s="37"/>
      <c r="X22" s="37"/>
      <c r="Y22" s="30"/>
      <c r="Z22" s="29"/>
      <c r="AA22" s="29"/>
      <c r="AB22" s="29"/>
    </row>
    <row r="23" spans="1:28" x14ac:dyDescent="0.45">
      <c r="A23" s="37"/>
      <c r="B23" s="37"/>
      <c r="C23" s="37"/>
      <c r="D23" s="37"/>
      <c r="E23" s="37"/>
      <c r="F23" s="37"/>
      <c r="G23" s="37"/>
      <c r="H23" s="37"/>
      <c r="I23" s="37"/>
      <c r="J23" s="37"/>
      <c r="K23" s="37"/>
      <c r="L23" s="37"/>
      <c r="M23" s="37"/>
      <c r="N23" s="37"/>
      <c r="O23" s="37"/>
      <c r="P23" s="37"/>
      <c r="Q23" s="37"/>
      <c r="R23" s="37"/>
      <c r="S23" s="37"/>
      <c r="T23" s="37"/>
      <c r="U23" s="37"/>
      <c r="V23" s="37"/>
      <c r="W23" s="37"/>
      <c r="X23" s="37"/>
      <c r="Y23" s="30"/>
      <c r="Z23" s="29"/>
      <c r="AA23" s="29"/>
      <c r="AB23" s="29"/>
    </row>
    <row r="24" spans="1:28" x14ac:dyDescent="0.45">
      <c r="A24" s="37"/>
      <c r="B24" s="37"/>
      <c r="C24" s="37"/>
      <c r="D24" s="37"/>
      <c r="E24" s="37"/>
      <c r="F24" s="37"/>
      <c r="G24" s="37"/>
      <c r="H24" s="37"/>
      <c r="I24" s="37"/>
      <c r="J24" s="37"/>
      <c r="K24" s="37"/>
      <c r="L24" s="37"/>
      <c r="M24" s="37"/>
      <c r="N24" s="37"/>
      <c r="O24" s="37"/>
      <c r="P24" s="37"/>
      <c r="Q24" s="37"/>
      <c r="R24" s="37"/>
      <c r="S24" s="37"/>
      <c r="T24" s="37"/>
      <c r="U24" s="37"/>
      <c r="V24" s="37"/>
      <c r="W24" s="37"/>
      <c r="X24" s="37"/>
      <c r="Y24" s="30"/>
      <c r="Z24" s="29"/>
      <c r="AA24" s="29"/>
      <c r="AB24" s="29"/>
    </row>
    <row r="25" spans="1:28" x14ac:dyDescent="0.45">
      <c r="A25" s="37"/>
      <c r="B25" s="37"/>
      <c r="C25" s="37"/>
      <c r="D25" s="37"/>
      <c r="E25" s="37"/>
      <c r="F25" s="37"/>
      <c r="G25" s="37"/>
      <c r="H25" s="37"/>
      <c r="I25" s="37"/>
      <c r="J25" s="37"/>
      <c r="K25" s="37"/>
      <c r="L25" s="37"/>
      <c r="M25" s="37"/>
      <c r="N25" s="37"/>
      <c r="O25" s="37"/>
      <c r="P25" s="37"/>
      <c r="Q25" s="37"/>
      <c r="R25" s="37"/>
      <c r="S25" s="37"/>
      <c r="T25" s="37"/>
      <c r="U25" s="37"/>
      <c r="V25" s="37"/>
      <c r="W25" s="37"/>
      <c r="X25" s="37"/>
      <c r="Y25" s="30"/>
      <c r="Z25" s="29"/>
      <c r="AA25" s="29"/>
      <c r="AB25" s="29"/>
    </row>
    <row r="26" spans="1:28" x14ac:dyDescent="0.45">
      <c r="A26" s="37"/>
      <c r="B26" s="37"/>
      <c r="C26" s="37"/>
      <c r="D26" s="37"/>
      <c r="E26" s="37"/>
      <c r="F26" s="37"/>
      <c r="G26" s="37"/>
      <c r="H26" s="37"/>
      <c r="I26" s="37"/>
      <c r="J26" s="37"/>
      <c r="K26" s="37"/>
      <c r="L26" s="37"/>
      <c r="M26" s="37"/>
      <c r="N26" s="37"/>
      <c r="O26" s="37"/>
      <c r="P26" s="37"/>
      <c r="Q26" s="37"/>
      <c r="R26" s="37"/>
      <c r="S26" s="37"/>
      <c r="T26" s="37"/>
      <c r="U26" s="37"/>
      <c r="V26" s="37"/>
      <c r="W26" s="37"/>
      <c r="X26" s="37"/>
      <c r="Y26" s="30"/>
      <c r="Z26" s="29"/>
      <c r="AA26" s="29"/>
      <c r="AB26" s="29"/>
    </row>
    <row r="27" spans="1:28" x14ac:dyDescent="0.45">
      <c r="A27" s="31"/>
      <c r="B27" s="31"/>
      <c r="C27" s="31"/>
      <c r="D27" s="31"/>
      <c r="E27" s="31"/>
      <c r="F27" s="31"/>
      <c r="G27" s="31"/>
      <c r="H27" s="31"/>
      <c r="I27" s="31"/>
      <c r="J27" s="31"/>
      <c r="K27" s="31"/>
      <c r="L27" s="31"/>
      <c r="M27" s="31"/>
      <c r="N27" s="31"/>
      <c r="O27" s="31"/>
      <c r="P27" s="31"/>
      <c r="Q27" s="31"/>
      <c r="R27" s="31"/>
      <c r="S27" s="31"/>
      <c r="T27" s="31"/>
      <c r="U27" s="31"/>
      <c r="V27" s="31"/>
      <c r="W27" s="31"/>
      <c r="X27" s="31"/>
      <c r="Y27" s="29"/>
      <c r="Z27" s="29"/>
      <c r="AA27" s="29"/>
      <c r="AB27" s="29"/>
    </row>
    <row r="28" spans="1:28" x14ac:dyDescent="0.45">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c r="AA28" s="29"/>
      <c r="AB28" s="29"/>
    </row>
    <row r="29" spans="1:28" x14ac:dyDescent="0.45">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c r="AA29" s="29"/>
      <c r="AB29" s="29"/>
    </row>
    <row r="30" spans="1:28" x14ac:dyDescent="0.45">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row>
  </sheetData>
  <mergeCells count="8">
    <mergeCell ref="A1:W2"/>
    <mergeCell ref="A4:E4"/>
    <mergeCell ref="A5:C5"/>
    <mergeCell ref="A6:C6"/>
    <mergeCell ref="A7:C7"/>
    <mergeCell ref="D5:E5"/>
    <mergeCell ref="D6:E6"/>
    <mergeCell ref="D7:E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Instructions</vt:lpstr>
      <vt:lpstr>Final Project Dataset</vt:lpstr>
      <vt:lpstr>Analysis</vt:lpstr>
      <vt:lpstr>total_revenue</vt:lpstr>
      <vt:lpstr>Pivort_Table-Charts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 Prajapati</dc:creator>
  <cp:lastModifiedBy>Prince Prajapati</cp:lastModifiedBy>
  <dcterms:created xsi:type="dcterms:W3CDTF">2026-03-25T16:23:23Z</dcterms:created>
  <dcterms:modified xsi:type="dcterms:W3CDTF">2026-03-25T16:29:24Z</dcterms:modified>
</cp:coreProperties>
</file>